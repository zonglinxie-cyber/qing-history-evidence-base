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4.xml" ContentType="application/vnd.openxmlformats-officedocument.spreadsheetml.table+xml"/>
  <Override PartName="/xl/worksheets/sheet6.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tables/table11.xml" ContentType="application/vnd.openxmlformats-officedocument.spreadsheetml.table+xml"/>
  <Override PartName="/xl/worksheets/sheet13.xml" ContentType="application/vnd.openxmlformats-officedocument.spreadsheetml.worksheet+xml"/>
  <Override PartName="/xl/comments4.xml" ContentType="application/vnd.openxmlformats-officedocument.spreadsheetml.comments+xml"/>
  <Override PartName="/xl/threadedcomments/threadedcomment4.xml" ContentType="application/vnd.ms-excel.threadedcomments+xml"/>
  <Override PartName="/xl/tables/table12.xml" ContentType="application/vnd.openxmlformats-officedocument.spreadsheetml.table+xml"/>
  <Override PartName="/xl/worksheets/sheet14.xml" ContentType="application/vnd.openxmlformats-officedocument.spreadsheetml.worksheet+xml"/>
  <Override PartName="/xl/comments5.xml" ContentType="application/vnd.openxmlformats-officedocument.spreadsheetml.comments+xml"/>
  <Override PartName="/xl/threadedcomments/threadedcomment5.xml" ContentType="application/vnd.ms-excel.threadedcomments+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99a3bc3ceca47ce" /></Relationships>
</file>

<file path=xl/workbook.xml><?xml version="1.0" encoding="utf-8"?>
<x:workbook xmlns:x="http://schemas.openxmlformats.org/spreadsheetml/2006/main">
  <x:sheets>
    <x:sheet xmlns:r="http://schemas.openxmlformats.org/officeDocument/2006/relationships" name="仪表盘" sheetId="1" r:id="R7631e7dbfb0f4ca3"/>
    <x:sheet xmlns:r="http://schemas.openxmlformats.org/officeDocument/2006/relationships" name="数据清单" sheetId="2" r:id="R166402a34a4644da"/>
    <x:sheet xmlns:r="http://schemas.openxmlformats.org/officeDocument/2006/relationships" name="十二帝总档" sheetId="3" r:id="R9e6a421707694c85"/>
    <x:sheet xmlns:r="http://schemas.openxmlformats.org/officeDocument/2006/relationships" name="帝王史料索引" sheetId="4" r:id="Rfa720569829546a6"/>
    <x:sheet xmlns:r="http://schemas.openxmlformats.org/officeDocument/2006/relationships" name="十二帝画像" sheetId="5" r:id="R92b1ca1c764e4259"/>
    <x:sheet xmlns:r="http://schemas.openxmlformats.org/officeDocument/2006/relationships" name="持续任务队列" sheetId="6" r:id="R6024243eddc44649"/>
    <x:sheet xmlns:r="http://schemas.openxmlformats.org/officeDocument/2006/relationships" name="人物ID对照" sheetId="7" r:id="R9c877b7a42f94cc0"/>
    <x:sheet xmlns:r="http://schemas.openxmlformats.org/officeDocument/2006/relationships" name="十二帝研究卡" sheetId="8" r:id="Rfcb62e21df8d4e70"/>
    <x:sheet xmlns:r="http://schemas.openxmlformats.org/officeDocument/2006/relationships" name="帝王来源单元" sheetId="9" r:id="R215bb8c91b824341"/>
    <x:sheet xmlns:r="http://schemas.openxmlformats.org/officeDocument/2006/relationships" name="六批次计划" sheetId="10" r:id="R865dfcc56ab74a65"/>
    <x:sheet xmlns:r="http://schemas.openxmlformats.org/officeDocument/2006/relationships" name="人物档案" sheetId="11" r:id="R671a65491fb040dd"/>
    <x:sheet xmlns:r="http://schemas.openxmlformats.org/officeDocument/2006/relationships" name="来源版权台账" sheetId="12" r:id="Raf836ce1ab1246e8"/>
    <x:sheet xmlns:r="http://schemas.openxmlformats.org/officeDocument/2006/relationships" name="主张工作台" sheetId="13" r:id="R5dd9bca9b4904b72"/>
    <x:sheet xmlns:r="http://schemas.openxmlformats.org/officeDocument/2006/relationships" name="身份关系主张" sheetId="14" r:id="R0eb5068fb4ce4bfb"/>
    <x:sheet xmlns:r="http://schemas.openxmlformats.org/officeDocument/2006/relationships" name="图像区域标注" sheetId="15" r:id="R03e61d598c2f47a7"/>
    <x:sheet xmlns:r="http://schemas.openxmlformats.org/officeDocument/2006/relationships" name="决策日志" sheetId="16" r:id="Red8abd724dec4cec"/>
    <x:sheet xmlns:r="http://schemas.openxmlformats.org/officeDocument/2006/relationships" name="风险登记" sheetId="17" r:id="R802c4001eb9e45a7"/>
    <x:sheet xmlns:r="http://schemas.openxmlformats.org/officeDocument/2006/relationships" name="受控词表" sheetId="18" r:id="R252b7ce08dbe4c07"/>
  </x:sheets>
</x:workbook>
</file>

<file path=xl/comments1.xml><?xml version="1.0" encoding="utf-8"?>
<x:comments xmlns:x="http://schemas.openxmlformats.org/spreadsheetml/2006/main">
  <x:authors>
    <x:author>tc={6BAB7B59-1E99-9948-06CB-0603E0DB65C1}</x:author>
  </x:authors>
  <x:commentList>
    <x:comment ref="J4" authorId="0">
      <x:text>
        <x:r>
          <x:t>[Threaded comment]
Your version of Excel allows you to read this threaded comment; however, any edits to it will get removed if the file is opened in a newer version of Excel. Learn more: https://go.microsoft.com/fwlink/?linkid=870924
Comment:
    Commons 分类页不能替代逐文件许可页；许可状态变化时应重新核查并能撤下本地文件。 </x:t>
        </x:r>
      </x:text>
    </x:comment>
  </x:commentList>
</x:comments>
</file>

<file path=xl/comments2.xml><?xml version="1.0" encoding="utf-8"?>
<x:comments xmlns:x="http://schemas.openxmlformats.org/spreadsheetml/2006/main">
  <x:authors>
    <x:author>tc={8ABD4F49-CD02-BB56-D31E-8A6469756359}</x:author>
  </x:authors>
  <x:commentList>
    <x:comment ref="H4" authorId="0">
      <x:text>
        <x:r>
          <x:t>[Threaded comment]
Your version of Excel allows you to read this threaded comment; however, any edits to it will get removed if the file is opened in a newer version of Excel. Learn more: https://go.microsoft.com/fwlink/?linkid=870924
Comment:
    任务状态以磁盘台账为准；每轮工作结束必须更新完成位置、未决问题和下一动作。 </x:t>
        </x:r>
      </x:text>
    </x:comment>
  </x:commentList>
</x:comments>
</file>

<file path=xl/comments3.xml><?xml version="1.0" encoding="utf-8"?>
<x:comments xmlns:x="http://schemas.openxmlformats.org/spreadsheetml/2006/main">
  <x:authors>
    <x:author>tc={A15785FE-AEB9-4E1E-A80E-815853BDBF77}</x:author>
  </x:authors>
  <x:commentList>
    <x:comment ref="G4" authorId="0">
      <x:text>
        <x:r>
          <x:t>[Threaded comment]
Your version of Excel allows you to read this threaded comment; however, any edits to it will get removed if the file is opened in a newer version of Excel. Learn more: https://go.microsoft.com/fwlink/?linkid=870924
Comment:
    绿色也必须逐对象核对许可；机构有 Open Data 不代表该机构所有图像和档案均开放。 </x:t>
        </x:r>
      </x:text>
    </x:comment>
  </x:commentList>
</x:comments>
</file>

<file path=xl/comments4.xml><?xml version="1.0" encoding="utf-8"?>
<x:comments xmlns:x="http://schemas.openxmlformats.org/spreadsheetml/2006/main">
  <x:authors>
    <x:author>tc={A582590C-630C-B5A3-4CEF-362F3D0318CE}</x:author>
  </x:authors>
  <x:commentList>
    <x:comment ref="J4" authorId="0">
      <x:text>
        <x:r>
          <x:t>[Threaded comment]
Your version of Excel allows you to read this threaded comment; however, any edits to it will get removed if the file is opened in a newer version of Excel. Learn more: https://go.microsoft.com/fwlink/?linkid=870924
Comment:
    只有已采纳或有争议且完成规定复核的主张才可进入正式产品视图；AI 不得自行改变此列。 </x:t>
        </x:r>
      </x:text>
    </x:comment>
  </x:commentList>
</x:comments>
</file>

<file path=xl/comments5.xml><?xml version="1.0" encoding="utf-8"?>
<x:comments xmlns:x="http://schemas.openxmlformats.org/spreadsheetml/2006/main">
  <x:authors>
    <x:author>tc={E3385147-369E-5B8E-2BB8-7AC09C2A6108}</x:author>
  </x:authors>
  <x:commentList>
    <x:comment ref="D4" authorId="0">
      <x:text>
        <x:r>
          <x:t>[Threaded comment]
Your version of Excel allows you to read this threaded comment; however, any edits to it will get removed if the file is opened in a newer version of Excel. Learn more: https://go.microsoft.com/fwlink/?linkid=870924
Comment:
    不要使用笼统的“母亲”关系。至少区分生母、嫡母/法定母、礼仪母、正式收养与抚育者。 </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
    <x:numFmt numFmtId="202" formatCode="yyyy-mm-dd"/>
  </x:numFmts>
  <x:fonts count="13">
    <x:font>
      <x:sz val="11"/>
      <x:name val="Carlito"/>
    </x:font>
    <x:font>
      <x:b/>
      <x:sz val="19"/>
      <x:color rgb="FFFFFFFF"/>
      <x:name val="STSong"/>
    </x:font>
    <x:font>
      <x:i/>
      <x:sz val="10"/>
      <x:color rgb="FF667085"/>
      <x:name val="Aptos"/>
    </x:font>
    <x:font>
      <x:b/>
      <x:sz val="11"/>
      <x:color rgb="FF067647"/>
      <x:name val="Aptos"/>
    </x:font>
    <x:font>
      <x:b/>
      <x:sz val="10"/>
      <x:color rgb="FF667085"/>
      <x:name val="Aptos"/>
    </x:font>
    <x:font>
      <x:b/>
      <x:sz val="22"/>
      <x:color rgb="FF294765"/>
      <x:name val="STSong"/>
    </x:font>
    <x:font>
      <x:b/>
      <x:sz val="22"/>
      <x:color rgb="FFA63A2B"/>
      <x:name val="STSong"/>
    </x:font>
    <x:font>
      <x:b/>
      <x:sz val="11"/>
      <x:color rgb="FFFFFFFF"/>
      <x:name val="Aptos"/>
    </x:font>
    <x:font>
      <x:b/>
      <x:sz val="11"/>
      <x:color rgb="FFA63A2B"/>
      <x:name val="Carlito"/>
    </x:font>
    <x:font>
      <x:sz val="9"/>
      <x:color rgb="FF1F2937"/>
      <x:name val="Aptos"/>
    </x:font>
    <x:font>
      <x:b/>
      <x:sz val="9"/>
      <x:color rgb="FF294765"/>
      <x:name val="Aptos"/>
    </x:font>
    <x:font>
      <x:i/>
      <x:sz val="9"/>
      <x:color rgb="FF667085"/>
      <x:name val="Carlito"/>
    </x:font>
    <x:font>
      <x:b/>
      <x:sz val="10"/>
      <x:color rgb="FFFFFFFF"/>
      <x:name val="Aptos"/>
    </x:font>
  </x:fonts>
  <x:fills count="11">
    <x:fill>
      <x:patternFill patternType="none"/>
    </x:fill>
    <x:fill>
      <x:patternFill patternType="gray125"/>
    </x:fill>
    <x:fill>
      <x:patternFill patternType="solid">
        <x:fgColor rgb="FF294765"/>
      </x:patternFill>
    </x:fill>
    <x:fill>
      <x:patternFill patternType="solid">
        <x:fgColor rgb="FFE8EEF4"/>
      </x:patternFill>
    </x:fill>
    <x:fill>
      <x:patternFill patternType="solid">
        <x:fgColor rgb="FFE5F5ED"/>
      </x:patternFill>
    </x:fill>
    <x:fill>
      <x:patternFill patternType="solid">
        <x:fgColor rgb="FFFFFDF8"/>
      </x:patternFill>
    </x:fill>
    <x:fill>
      <x:patternFill patternType="solid">
        <x:fgColor rgb="FFF6E7E3"/>
      </x:patternFill>
    </x:fill>
    <x:fill>
      <x:patternFill patternType="solid">
        <x:fgColor rgb="FF2F6B57"/>
      </x:patternFill>
    </x:fill>
    <x:fill>
      <x:patternFill patternType="solid">
        <x:fgColor rgb="FFF7F4ED"/>
      </x:patternFill>
    </x:fill>
    <x:fill>
      <x:patternFill patternType="solid">
        <x:fgColor rgb="FFA63A2B"/>
      </x:patternFill>
    </x:fill>
    <x:fill>
      <x:patternFill patternType="solid">
        <x:fgColor rgb="FFEAF2FF"/>
      </x:patternFill>
    </x:fill>
  </x:fills>
  <x:borders count="16">
    <x:border/>
    <x:border>
      <x:left style="thin">
        <x:color rgb="FFD6D3D1"/>
      </x:left>
      <x:top style="thin">
        <x:color rgb="FFD6D3D1"/>
      </x:top>
      <x:bottom style="thin">
        <x:color rgb="FFD6D3D1"/>
      </x:bottom>
    </x:border>
    <x:border>
      <x:right style="thin">
        <x:color rgb="FFD6D3D1"/>
      </x:right>
      <x:top style="thin">
        <x:color rgb="FFD6D3D1"/>
      </x:top>
      <x:bottom style="thin">
        <x:color rgb="FFD6D3D1"/>
      </x:bottom>
    </x:border>
    <x:border>
      <x:left style="thin">
        <x:color rgb="FFD6D3D1"/>
      </x:left>
      <x:top style="thin">
        <x:color rgb="FFD6D3D1"/>
      </x:top>
    </x:border>
    <x:border>
      <x:right style="thin">
        <x:color rgb="FFD6D3D1"/>
      </x:right>
      <x:top style="thin">
        <x:color rgb="FFD6D3D1"/>
      </x:top>
    </x:border>
    <x:border>
      <x:left style="thin">
        <x:color rgb="FFD6D3D1"/>
      </x:left>
      <x:bottom style="thin">
        <x:color rgb="FFD6D3D1"/>
      </x:bottom>
    </x:border>
    <x:border>
      <x:right style="thin">
        <x:color rgb="FFD6D3D1"/>
      </x:right>
      <x:bottom style="thin">
        <x:color rgb="FFD6D3D1"/>
      </x:bottom>
    </x:border>
    <x:border>
      <x:top style="thin">
        <x:color rgb="FFD6D3D1"/>
      </x:top>
    </x:border>
    <x:border>
      <x:left style="thin">
        <x:color rgb="FFD6D3D1"/>
      </x:left>
    </x:border>
    <x:border>
      <x:right style="thin">
        <x:color rgb="FFD6D3D1"/>
      </x:right>
    </x:border>
    <x:border>
      <x:bottom style="thin">
        <x:color rgb="FFD6D3D1"/>
      </x:bottom>
    </x:border>
    <x:border>
      <x:left style="thin">
        <x:color rgb="FFA63A2B"/>
      </x:left>
      <x:top style="thin">
        <x:color rgb="FFA63A2B"/>
      </x:top>
      <x:bottom style="thin">
        <x:color rgb="FFA63A2B"/>
      </x:bottom>
    </x:border>
    <x:border>
      <x:top style="thin">
        <x:color rgb="FFA63A2B"/>
      </x:top>
      <x:bottom style="thin">
        <x:color rgb="FFA63A2B"/>
      </x:bottom>
    </x:border>
    <x:border>
      <x:right style="thin">
        <x:color rgb="FFA63A2B"/>
      </x:right>
      <x:top style="thin">
        <x:color rgb="FFA63A2B"/>
      </x:top>
      <x:bottom style="thin">
        <x:color rgb="FFA63A2B"/>
      </x:bottom>
    </x:border>
    <x:border>
      <x:bottom style="thin">
        <x:color rgb="FFECE9E2"/>
      </x:bottom>
    </x:border>
    <x:border>
      <x:top style="thin">
        <x:color rgb="FFECE9E2"/>
      </x:top>
      <x:bottom style="thin">
        <x:color rgb="FFECE9E2"/>
      </x:bottom>
    </x:border>
  </x:borders>
  <x:cellStyleXfs count="1">
    <x:xf numFmtId="0" fontId="0" fillId="0" borderId="0"/>
  </x:cellStyleXfs>
  <x:cellXfs count="10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4" fillId="3" borderId="0" xfId="0" applyNumberFormat="1" applyFont="1" applyFill="1" applyBorder="1"/>
    <x:xf numFmtId="0" fontId="4" fillId="3" borderId="1" xfId="0" applyNumberFormat="1" applyFont="1" applyFill="1" applyBorder="1"/>
    <x:xf numFmtId="0" fontId="4" fillId="3" borderId="2" xfId="0" applyNumberFormat="1" applyFont="1" applyFill="1" applyBorder="1"/>
    <x:xf numFmtId="0" fontId="4" fillId="3" borderId="1" xfId="0" applyNumberFormat="1" applyFont="1" applyFill="1" applyBorder="1" applyAlignment="1">
      <x:alignment horizontal="center"/>
    </x:xf>
    <x:xf numFmtId="0" fontId="4" fillId="3" borderId="2"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4" fillId="3" borderId="2"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3" xfId="0" applyNumberFormat="1" applyFont="1" applyFill="1" applyBorder="1"/>
    <x:xf numFmtId="0" fontId="5" fillId="5" borderId="4" xfId="0" applyNumberFormat="1" applyFont="1" applyFill="1" applyBorder="1"/>
    <x:xf numFmtId="0" fontId="5" fillId="5" borderId="5" xfId="0" applyNumberFormat="1" applyFont="1" applyFill="1" applyBorder="1"/>
    <x:xf numFmtId="0" fontId="5" fillId="5" borderId="6" xfId="0" applyNumberFormat="1" applyFont="1" applyFill="1" applyBorder="1"/>
    <x:xf numFmtId="200" fontId="5" fillId="5" borderId="3" xfId="0" applyNumberFormat="1" applyFont="1" applyFill="1" applyBorder="1"/>
    <x:xf numFmtId="200" fontId="5" fillId="5" borderId="4" xfId="0" applyNumberFormat="1" applyFont="1" applyFill="1" applyBorder="1"/>
    <x:xf numFmtId="200" fontId="5" fillId="5" borderId="5" xfId="0" applyNumberFormat="1" applyFont="1" applyFill="1" applyBorder="1"/>
    <x:xf numFmtId="200" fontId="5" fillId="5" borderId="6" xfId="0" applyNumberFormat="1" applyFont="1" applyFill="1" applyBorder="1"/>
    <x:xf numFmtId="200" fontId="5" fillId="5" borderId="3" xfId="0" applyNumberFormat="1" applyFont="1" applyFill="1" applyBorder="1" applyAlignment="1">
      <x:alignment horizontal="center"/>
    </x:xf>
    <x:xf numFmtId="200" fontId="5" fillId="5" borderId="4" xfId="0" applyNumberFormat="1" applyFont="1" applyFill="1" applyBorder="1" applyAlignment="1">
      <x:alignment horizontal="center"/>
    </x:xf>
    <x:xf numFmtId="200" fontId="5" fillId="5" borderId="5" xfId="0" applyNumberFormat="1" applyFont="1" applyFill="1" applyBorder="1" applyAlignment="1">
      <x:alignment horizontal="center"/>
    </x:xf>
    <x:xf numFmtId="200" fontId="5" fillId="5" borderId="6" xfId="0" applyNumberFormat="1" applyFont="1" applyFill="1" applyBorder="1" applyAlignment="1">
      <x:alignment horizontal="center"/>
    </x:xf>
    <x:xf numFmtId="200" fontId="5" fillId="5" borderId="3" xfId="0" applyNumberFormat="1" applyFont="1" applyFill="1" applyBorder="1" applyAlignment="1">
      <x:alignment horizontal="center" vertical="center"/>
    </x:xf>
    <x:xf numFmtId="200" fontId="5" fillId="5" borderId="4" xfId="0" applyNumberFormat="1" applyFont="1" applyFill="1" applyBorder="1" applyAlignment="1">
      <x:alignment horizontal="center" vertical="center"/>
    </x:xf>
    <x:xf numFmtId="200" fontId="5" fillId="5" borderId="5" xfId="0" applyNumberFormat="1" applyFont="1" applyFill="1" applyBorder="1" applyAlignment="1">
      <x:alignment horizontal="center" vertical="center"/>
    </x:xf>
    <x:xf numFmtId="200" fontId="5" fillId="5" borderId="6" xfId="0" applyNumberFormat="1" applyFont="1" applyFill="1" applyBorder="1" applyAlignment="1">
      <x:alignment horizontal="center" vertical="center"/>
    </x:xf>
    <x:xf numFmtId="0" fontId="0" fillId="6" borderId="0" xfId="0" applyNumberFormat="1" applyFont="1" applyFill="1" applyBorder="1"/>
    <x:xf numFmtId="0" fontId="4" fillId="6" borderId="0" xfId="0" applyNumberFormat="1" applyFont="1" applyFill="1" applyBorder="1"/>
    <x:xf numFmtId="0" fontId="4" fillId="6" borderId="1" xfId="0" applyNumberFormat="1" applyFont="1" applyFill="1" applyBorder="1"/>
    <x:xf numFmtId="0" fontId="4" fillId="6" borderId="2" xfId="0" applyNumberFormat="1" applyFont="1" applyFill="1" applyBorder="1"/>
    <x:xf numFmtId="0" fontId="4" fillId="6" borderId="1" xfId="0" applyNumberFormat="1" applyFont="1" applyFill="1" applyBorder="1" applyAlignment="1">
      <x:alignment horizontal="center"/>
    </x:xf>
    <x:xf numFmtId="0" fontId="4" fillId="6" borderId="2" xfId="0" applyNumberFormat="1" applyFont="1" applyFill="1" applyBorder="1" applyAlignment="1">
      <x:alignment horizontal="center"/>
    </x:xf>
    <x:xf numFmtId="0" fontId="4" fillId="6" borderId="1" xfId="0" applyNumberFormat="1" applyFont="1" applyFill="1" applyBorder="1" applyAlignment="1">
      <x:alignment horizontal="center" vertical="center"/>
    </x:xf>
    <x:xf numFmtId="0" fontId="4" fillId="6" borderId="2" xfId="0" applyNumberFormat="1" applyFont="1" applyFill="1" applyBorder="1" applyAlignment="1">
      <x:alignment horizontal="center" vertical="center"/>
    </x:xf>
    <x:xf numFmtId="0" fontId="6" fillId="5" borderId="0" xfId="0" applyNumberFormat="1" applyFont="1" applyFill="1" applyBorder="1"/>
    <x:xf numFmtId="0" fontId="6" fillId="5" borderId="3" xfId="0" applyNumberFormat="1" applyFont="1" applyFill="1" applyBorder="1"/>
    <x:xf numFmtId="0" fontId="6" fillId="5" borderId="4" xfId="0" applyNumberFormat="1" applyFont="1" applyFill="1" applyBorder="1"/>
    <x:xf numFmtId="0" fontId="6" fillId="5" borderId="5" xfId="0" applyNumberFormat="1" applyFont="1" applyFill="1" applyBorder="1"/>
    <x:xf numFmtId="0" fontId="6" fillId="5" borderId="6" xfId="0" applyNumberFormat="1" applyFont="1" applyFill="1" applyBorder="1"/>
    <x:xf numFmtId="200" fontId="6" fillId="5" borderId="3" xfId="0" applyNumberFormat="1" applyFont="1" applyFill="1" applyBorder="1"/>
    <x:xf numFmtId="200" fontId="6" fillId="5" borderId="4" xfId="0" applyNumberFormat="1" applyFont="1" applyFill="1" applyBorder="1"/>
    <x:xf numFmtId="200" fontId="6" fillId="5" borderId="5" xfId="0" applyNumberFormat="1" applyFont="1" applyFill="1" applyBorder="1"/>
    <x:xf numFmtId="200" fontId="6" fillId="5" borderId="6" xfId="0" applyNumberFormat="1" applyFont="1" applyFill="1" applyBorder="1"/>
    <x:xf numFmtId="200" fontId="6" fillId="5" borderId="3" xfId="0" applyNumberFormat="1" applyFont="1" applyFill="1" applyBorder="1" applyAlignment="1">
      <x:alignment horizontal="center"/>
    </x:xf>
    <x:xf numFmtId="200" fontId="6" fillId="5" borderId="4" xfId="0" applyNumberFormat="1" applyFont="1" applyFill="1" applyBorder="1" applyAlignment="1">
      <x:alignment horizontal="center"/>
    </x:xf>
    <x:xf numFmtId="200" fontId="6" fillId="5" borderId="5" xfId="0" applyNumberFormat="1" applyFont="1" applyFill="1" applyBorder="1" applyAlignment="1">
      <x:alignment horizontal="center"/>
    </x:xf>
    <x:xf numFmtId="200" fontId="6" fillId="5" borderId="6" xfId="0" applyNumberFormat="1" applyFont="1" applyFill="1" applyBorder="1" applyAlignment="1">
      <x:alignment horizontal="center"/>
    </x:xf>
    <x:xf numFmtId="200" fontId="6" fillId="5" borderId="3" xfId="0" applyNumberFormat="1" applyFont="1" applyFill="1" applyBorder="1" applyAlignment="1">
      <x:alignment horizontal="center" vertical="center"/>
    </x:xf>
    <x:xf numFmtId="200" fontId="6" fillId="5" borderId="4" xfId="0" applyNumberFormat="1" applyFont="1" applyFill="1" applyBorder="1" applyAlignment="1">
      <x:alignment horizontal="center" vertical="center"/>
    </x:xf>
    <x:xf numFmtId="200" fontId="6" fillId="5" borderId="5" xfId="0" applyNumberFormat="1" applyFont="1" applyFill="1" applyBorder="1" applyAlignment="1">
      <x:alignment horizontal="center" vertical="center"/>
    </x:xf>
    <x:xf numFmtId="200" fontId="6" fillId="5" borderId="6" xfId="0" applyNumberFormat="1" applyFont="1" applyFill="1" applyBorder="1" applyAlignment="1">
      <x:alignment horizontal="center" vertical="center"/>
    </x:xf>
    <x:xf numFmtId="0" fontId="0" fillId="7" borderId="0" xfId="0" applyNumberFormat="1" applyFont="1" applyFill="1" applyBorder="1"/>
    <x:xf numFmtId="0" fontId="7" fillId="7" borderId="0" xfId="0" applyNumberFormat="1" applyFont="1" applyFill="1" applyBorder="1"/>
    <x:xf numFmtId="0" fontId="8" fillId="6" borderId="0" xfId="0" applyNumberFormat="1" applyFont="1" applyFill="1" applyBorder="1"/>
    <x:xf numFmtId="0" fontId="8" fillId="6" borderId="0" xfId="0" applyNumberFormat="1" applyFont="1" applyFill="1" applyBorder="1" applyAlignment="1">
      <x:alignment wrapText="1"/>
    </x:xf>
    <x:xf numFmtId="0" fontId="9" fillId="5" borderId="0" xfId="0" applyNumberFormat="1" applyFont="1" applyFill="1" applyBorder="1"/>
    <x:xf numFmtId="0" fontId="9" fillId="5" borderId="0" xfId="0" applyNumberFormat="1" applyFont="1" applyFill="1" applyBorder="1" applyAlignment="1">
      <x:alignment wrapText="1"/>
    </x:xf>
    <x:xf numFmtId="0" fontId="9" fillId="5" borderId="0" xfId="0" applyNumberFormat="1" applyFont="1" applyFill="1" applyBorder="1" applyAlignment="1">
      <x:alignment vertical="top" wrapText="1"/>
    </x:xf>
    <x:xf numFmtId="0" fontId="8" fillId="6" borderId="3" xfId="0" applyNumberFormat="1" applyFont="1" applyFill="1" applyBorder="1" applyAlignment="1">
      <x:alignment wrapText="1"/>
    </x:xf>
    <x:xf numFmtId="0" fontId="8" fillId="6" borderId="7" xfId="0" applyNumberFormat="1" applyFont="1" applyFill="1" applyBorder="1" applyAlignment="1">
      <x:alignment wrapText="1"/>
    </x:xf>
    <x:xf numFmtId="0" fontId="8" fillId="6" borderId="4" xfId="0" applyNumberFormat="1" applyFont="1" applyFill="1" applyBorder="1" applyAlignment="1">
      <x:alignment wrapText="1"/>
    </x:xf>
    <x:xf numFmtId="0" fontId="9" fillId="5" borderId="8" xfId="0" applyNumberFormat="1" applyFont="1" applyFill="1" applyBorder="1" applyAlignment="1">
      <x:alignment vertical="top" wrapText="1"/>
    </x:xf>
    <x:xf numFmtId="0" fontId="9" fillId="5" borderId="9" xfId="0" applyNumberFormat="1" applyFont="1" applyFill="1" applyBorder="1" applyAlignment="1">
      <x:alignment vertical="top" wrapText="1"/>
    </x:xf>
    <x:xf numFmtId="0" fontId="9" fillId="5" borderId="5" xfId="0" applyNumberFormat="1" applyFont="1" applyFill="1" applyBorder="1" applyAlignment="1">
      <x:alignment vertical="top" wrapText="1"/>
    </x:xf>
    <x:xf numFmtId="0" fontId="9" fillId="5" borderId="10" xfId="0" applyNumberFormat="1" applyFont="1" applyFill="1" applyBorder="1" applyAlignment="1">
      <x:alignment vertical="top" wrapText="1"/>
    </x:xf>
    <x:xf numFmtId="0" fontId="9" fillId="5" borderId="6" xfId="0" applyNumberFormat="1" applyFont="1" applyFill="1" applyBorder="1" applyAlignment="1">
      <x:alignment vertical="top" wrapText="1"/>
    </x:xf>
    <x:xf numFmtId="0" fontId="10" fillId="5" borderId="0" xfId="0" applyNumberFormat="1" applyFont="1" applyFill="1" applyBorder="1" applyAlignment="1">
      <x:alignment vertical="top" wrapText="1"/>
    </x:xf>
    <x:xf numFmtId="0" fontId="10" fillId="5" borderId="10" xfId="0" applyNumberFormat="1" applyFont="1" applyFill="1" applyBorder="1" applyAlignment="1">
      <x:alignment vertical="top" wrapText="1"/>
    </x:xf>
    <x:xf numFmtId="0" fontId="0" fillId="8" borderId="0" xfId="0" applyNumberFormat="1" applyFont="1" applyFill="1" applyBorder="1"/>
    <x:xf numFmtId="0" fontId="11" fillId="8" borderId="0" xfId="0" applyNumberFormat="1" applyFont="1" applyFill="1" applyBorder="1"/>
    <x:xf numFmtId="0" fontId="11" fillId="8" borderId="0" xfId="0" applyNumberFormat="1" applyFont="1" applyFill="1" applyBorder="1" applyAlignment="1">
      <x:alignment horizontal="center"/>
    </x:xf>
    <x:xf numFmtId="0" fontId="0" fillId="9" borderId="0" xfId="0" applyNumberFormat="1" applyFont="1" applyFill="1" applyBorder="1"/>
    <x:xf numFmtId="0" fontId="12" fillId="9" borderId="0" xfId="0" applyNumberFormat="1" applyFont="1" applyFill="1" applyBorder="1"/>
    <x:xf numFmtId="0" fontId="12" fillId="9" borderId="11" xfId="0" applyNumberFormat="1" applyFont="1" applyFill="1" applyBorder="1"/>
    <x:xf numFmtId="0" fontId="12" fillId="9" borderId="12" xfId="0" applyNumberFormat="1" applyFont="1" applyFill="1" applyBorder="1"/>
    <x:xf numFmtId="0" fontId="12" fillId="9" borderId="13" xfId="0" applyNumberFormat="1" applyFont="1" applyFill="1" applyBorder="1"/>
    <x:xf numFmtId="0" fontId="12" fillId="9" borderId="11" xfId="0" applyNumberFormat="1" applyFont="1" applyFill="1" applyBorder="1" applyAlignment="1">
      <x:alignment wrapText="1"/>
    </x:xf>
    <x:xf numFmtId="0" fontId="12" fillId="9" borderId="12" xfId="0" applyNumberFormat="1" applyFont="1" applyFill="1" applyBorder="1" applyAlignment="1">
      <x:alignment wrapText="1"/>
    </x:xf>
    <x:xf numFmtId="0" fontId="12" fillId="9" borderId="13" xfId="0" applyNumberFormat="1" applyFont="1" applyFill="1" applyBorder="1" applyAlignment="1">
      <x:alignment wrapText="1"/>
    </x:xf>
    <x:xf numFmtId="0" fontId="12" fillId="9" borderId="11" xfId="0" applyNumberFormat="1" applyFont="1" applyFill="1" applyBorder="1" applyAlignment="1">
      <x:alignment horizontal="center" wrapText="1"/>
    </x:xf>
    <x:xf numFmtId="0" fontId="12" fillId="9" borderId="12" xfId="0" applyNumberFormat="1" applyFont="1" applyFill="1" applyBorder="1" applyAlignment="1">
      <x:alignment horizontal="center" wrapText="1"/>
    </x:xf>
    <x:xf numFmtId="0" fontId="12" fillId="9" borderId="13" xfId="0" applyNumberFormat="1" applyFont="1" applyFill="1" applyBorder="1" applyAlignment="1">
      <x:alignment horizontal="center" wrapText="1"/>
    </x:xf>
    <x:xf numFmtId="0" fontId="12" fillId="9" borderId="11" xfId="0" applyNumberFormat="1" applyFont="1" applyFill="1" applyBorder="1" applyAlignment="1">
      <x:alignment horizontal="center" vertical="center" wrapText="1"/>
    </x:xf>
    <x:xf numFmtId="0" fontId="12" fillId="9" borderId="12" xfId="0" applyNumberFormat="1" applyFont="1" applyFill="1" applyBorder="1" applyAlignment="1">
      <x:alignment horizontal="center" vertical="center" wrapText="1"/>
    </x:xf>
    <x:xf numFmtId="0" fontId="12" fillId="9" borderId="13" xfId="0" applyNumberFormat="1" applyFont="1" applyFill="1" applyBorder="1" applyAlignment="1">
      <x:alignment horizontal="center" vertical="center" wrapText="1"/>
    </x:xf>
    <x:xf numFmtId="0" fontId="9" fillId="5" borderId="14" xfId="0" applyNumberFormat="1" applyFont="1" applyFill="1" applyBorder="1"/>
    <x:xf numFmtId="0" fontId="9" fillId="5" borderId="15" xfId="0" applyNumberFormat="1" applyFont="1" applyFill="1" applyBorder="1"/>
    <x:xf numFmtId="0" fontId="9" fillId="5" borderId="14" xfId="0" applyNumberFormat="1" applyFont="1" applyFill="1" applyBorder="1" applyAlignment="1">
      <x:alignment wrapText="1"/>
    </x:xf>
    <x:xf numFmtId="0" fontId="9" fillId="5" borderId="15" xfId="0" applyNumberFormat="1" applyFont="1" applyFill="1" applyBorder="1" applyAlignment="1">
      <x:alignment wrapText="1"/>
    </x:xf>
    <x:xf numFmtId="0" fontId="9" fillId="5" borderId="14" xfId="0" applyNumberFormat="1" applyFont="1" applyFill="1" applyBorder="1" applyAlignment="1">
      <x:alignment vertical="top" wrapText="1"/>
    </x:xf>
    <x:xf numFmtId="0" fontId="9" fillId="5" borderId="15" xfId="0" applyNumberFormat="1" applyFont="1" applyFill="1" applyBorder="1" applyAlignment="1">
      <x:alignment vertical="top" wrapText="1"/>
    </x:xf>
    <x:xf numFmtId="201" fontId="9" fillId="5" borderId="14" xfId="0" applyNumberFormat="1" applyFont="1" applyFill="1" applyBorder="1" applyAlignment="1">
      <x:alignment vertical="top" wrapText="1"/>
    </x:xf>
    <x:xf numFmtId="201" fontId="9" fillId="5" borderId="15" xfId="0" applyNumberFormat="1" applyFont="1" applyFill="1" applyBorder="1" applyAlignment="1">
      <x:alignment vertical="top" wrapText="1"/>
    </x:xf>
    <x:xf numFmtId="0" fontId="9" fillId="10" borderId="14" xfId="0" applyNumberFormat="1" applyFont="1" applyFill="1" applyBorder="1" applyAlignment="1">
      <x:alignment vertical="top" wrapText="1"/>
    </x:xf>
    <x:xf numFmtId="0" fontId="9" fillId="10" borderId="15" xfId="0" applyNumberFormat="1" applyFont="1" applyFill="1" applyBorder="1" applyAlignment="1">
      <x:alignment vertical="top" wrapText="1"/>
    </x:xf>
    <x:xf numFmtId="202" fontId="9" fillId="10" borderId="14" xfId="0" applyNumberFormat="1" applyFont="1" applyFill="1" applyBorder="1" applyAlignment="1">
      <x:alignment vertical="top" wrapText="1"/>
    </x:xf>
    <x:xf numFmtId="202" fontId="9" fillId="10" borderId="15" xfId="0" applyNumberFormat="1" applyFont="1" applyFill="1" applyBorder="1" applyAlignment="1">
      <x:alignment vertical="top" wrapText="1"/>
    </x:xf>
    <x:xf numFmtId="202" fontId="9" fillId="5" borderId="14" xfId="0" applyNumberFormat="1" applyFont="1" applyFill="1" applyBorder="1" applyAlignment="1">
      <x:alignment vertical="top" wrapText="1"/>
    </x:xf>
    <x:xf numFmtId="202" fontId="9" fillId="5" borderId="15" xfId="0" applyNumberFormat="1" applyFont="1" applyFill="1" applyBorder="1" applyAlignment="1">
      <x:alignment vertical="top" wrapText="1"/>
    </x:xf>
  </x:cellXfs>
  <x:cellStyles count="1">
    <x:cellStyle name="Normal" xfId="0"/>
  </x:cellStyles>
  <x:dxfs count="73">
    <x:dxf>
      <x:font>
        <x:b/>
        <x:color rgb="FF067647"/>
      </x:font>
      <x:fill>
        <x:patternFill patternType="solid">
          <x:bgColor rgb="FFE5F5ED"/>
        </x:patternFill>
      </x:fill>
    </x:dxf>
    <x:dxf>
      <x:font>
        <x:b/>
        <x:color rgb="FF067647"/>
      </x:font>
      <x:fill>
        <x:patternFill patternType="solid">
          <x:bgColor rgb="FFE5F5ED"/>
        </x:patternFill>
      </x:fill>
    </x:dxf>
    <x:dxf>
      <x:font>
        <x:b/>
        <x:color rgb="FF294765"/>
      </x:font>
      <x:fill>
        <x:patternFill patternType="solid">
          <x:bgColor rgb="FFE8EEF4"/>
        </x:patternFill>
      </x:fill>
    </x:dxf>
    <x:dxf>
      <x:font>
        <x:b/>
        <x:color rgb="FFB7791F"/>
      </x:font>
      <x:fill>
        <x:patternFill patternType="solid">
          <x:bgColor rgb="FFFFF4D6"/>
        </x:patternFill>
      </x:fill>
    </x:dxf>
    <x:dxf>
      <x:font>
        <x:b/>
        <x:color rgb="FFB42318"/>
      </x:font>
      <x:fill>
        <x:patternFill patternType="solid">
          <x:bgColor rgb="FFFDE9E7"/>
        </x:patternFill>
      </x:fill>
    </x:dxf>
    <x:dxf>
      <x:font>
        <x:b/>
        <x:color rgb="FF067647"/>
      </x:font>
      <x:fill>
        <x:patternFill patternType="solid">
          <x:bgColor rgb="FFE5F5ED"/>
        </x:patternFill>
      </x:fill>
    </x:dxf>
    <x:dxf>
      <x:font>
        <x:b/>
        <x:color rgb="FF067647"/>
      </x:font>
      <x:fill>
        <x:patternFill patternType="solid">
          <x:bgColor rgb="FFE5F5ED"/>
        </x:patternFill>
      </x:fill>
    </x:dxf>
    <x:dxf>
      <x:font>
        <x:b/>
        <x:color rgb="FF294765"/>
      </x:font>
      <x:fill>
        <x:patternFill patternType="solid">
          <x:bgColor rgb="FFE8EEF4"/>
        </x:patternFill>
      </x:fill>
    </x:dxf>
    <x:dxf>
      <x:font>
        <x:b/>
        <x:color rgb="FFB7791F"/>
      </x:font>
      <x:fill>
        <x:patternFill patternType="solid">
          <x:bgColor rgb="FFFFF4D6"/>
        </x:patternFill>
      </x:fill>
    </x:dxf>
    <x:dxf>
      <x:font>
        <x:b/>
        <x:color rgb="FFB42318"/>
      </x:font>
      <x:fill>
        <x:patternFill patternType="solid">
          <x:bgColor rgb="FFFDE9E7"/>
        </x:patternFill>
      </x:fill>
    </x:dxf>
    <x:dxf>
      <x:font>
        <x:b/>
        <x:color rgb="FF067647"/>
      </x:font>
      <x:fill>
        <x:patternFill patternType="solid">
          <x:bgColor rgb="FFE5F5ED"/>
        </x:patternFill>
      </x:fill>
    </x:dxf>
    <x:dxf>
      <x:font>
        <x:b/>
        <x:color rgb="FFB7791F"/>
      </x:font>
      <x:fill>
        <x:patternFill patternType="solid">
          <x:bgColor rgb="FFFFF4D6"/>
        </x:patternFill>
      </x:fill>
    </x:dxf>
    <x:dxf>
      <x:font>
        <x:b/>
        <x:color rgb="FFB42318"/>
      </x:font>
      <x:fill>
        <x:patternFill patternType="solid">
          <x:bgColor rgb="FFFDE9E7"/>
        </x:patternFill>
      </x:fill>
    </x:dxf>
    <x:dxf>
      <x:font>
        <x:b/>
        <x:color rgb="FF067647"/>
      </x:font>
      <x:fill>
        <x:patternFill patternType="solid">
          <x:bgColor rgb="FFE5F5ED"/>
        </x:patternFill>
      </x:fill>
    </x:dxf>
    <x:dxf>
      <x:font>
        <x:b/>
        <x:color rgb="FF067647"/>
      </x:font>
      <x:fill>
        <x:patternFill patternType="solid">
          <x:bgColor rgb="FFE5F5ED"/>
        </x:patternFill>
      </x:fill>
    </x:dxf>
    <x:dxf>
      <x:font>
        <x:b/>
        <x:color rgb="FF294765"/>
      </x:font>
      <x:fill>
        <x:patternFill patternType="solid">
          <x:bgColor rgb="FFE8EEF4"/>
        </x:patternFill>
      </x:fill>
    </x:dxf>
    <x:dxf>
      <x:font>
        <x:b/>
        <x:color rgb="FFB7791F"/>
      </x:font>
      <x:fill>
        <x:patternFill patternType="solid">
          <x:bgColor rgb="FFFFF4D6"/>
        </x:patternFill>
      </x:fill>
    </x:dxf>
    <x:dxf>
      <x:font>
        <x:b/>
        <x:color rgb="FFB42318"/>
      </x:font>
      <x:fill>
        <x:patternFill patternType="solid">
          <x:bgColor rgb="FFFDE9E7"/>
        </x:patternFill>
      </x:fill>
    </x:dxf>
    <x:dxf>
      <x:font>
        <x:b/>
        <x:color rgb="FFB42318"/>
      </x:font>
      <x:fill>
        <x:patternFill patternType="solid">
          <x:bgColor rgb="FFFDE9E7"/>
        </x:patternFill>
      </x:fill>
    </x:dxf>
    <x:dxf>
      <x:font>
        <x:b/>
        <x:color rgb="FFB7791F"/>
      </x:font>
      <x:fill>
        <x:patternFill patternType="solid">
          <x:bgColor rgb="FFFFF4D6"/>
        </x:patternFill>
      </x:fill>
    </x:dxf>
    <x:dxf>
      <x:font>
        <x:color rgb="FF294765"/>
      </x:font>
      <x:fill>
        <x:patternFill patternType="solid">
          <x:bgColor rgb="FFE8EEF4"/>
        </x:patternFill>
      </x:fill>
    </x:dxf>
    <x:dxf>
      <x:font>
        <x:b/>
        <x:color rgb="FF067647"/>
      </x:font>
      <x:fill>
        <x:patternFill patternType="solid">
          <x:bgColor rgb="FFE5F5ED"/>
        </x:patternFill>
      </x:fill>
    </x:dxf>
    <x:dxf>
      <x:font>
        <x:b/>
        <x:color rgb="FF067647"/>
      </x:font>
      <x:fill>
        <x:patternFill patternType="solid">
          <x:bgColor rgb="FFE5F5ED"/>
        </x:patternFill>
      </x:fill>
    </x:dxf>
    <x:dxf>
      <x:font>
        <x:b/>
        <x:color rgb="FF294765"/>
      </x:font>
      <x:fill>
        <x:patternFill patternType="solid">
          <x:bgColor rgb="FFE8EEF4"/>
        </x:patternFill>
      </x:fill>
    </x:dxf>
    <x:dxf>
      <x:font>
        <x:b/>
        <x:color rgb="FFB7791F"/>
      </x:font>
      <x:fill>
        <x:patternFill patternType="solid">
          <x:bgColor rgb="FFFFF4D6"/>
        </x:patternFill>
      </x:fill>
    </x:dxf>
    <x:dxf>
      <x:font>
        <x:b/>
        <x:color rgb="FFB42318"/>
      </x:font>
      <x:fill>
        <x:patternFill patternType="solid">
          <x:bgColor rgb="FFFDE9E7"/>
        </x:patternFill>
      </x:fill>
    </x:dxf>
    <x:dxf>
      <x:font>
        <x:b/>
        <x:color rgb="FFB42318"/>
      </x:font>
      <x:fill>
        <x:patternFill patternType="solid">
          <x:bgColor rgb="FFFDE9E7"/>
        </x:patternFill>
      </x:fill>
    </x:dxf>
    <x:dxf>
      <x:font>
        <x:b/>
        <x:color rgb="FFB7791F"/>
      </x:font>
      <x:fill>
        <x:patternFill patternType="solid">
          <x:bgColor rgb="FFFFF4D6"/>
        </x:patternFill>
      </x:fill>
    </x:dxf>
    <x:dxf>
      <x:font>
        <x:color rgb="FF294765"/>
      </x:font>
      <x:fill>
        <x:patternFill patternType="solid">
          <x:bgColor rgb="FFE8EEF4"/>
        </x:patternFill>
      </x:fill>
    </x:dxf>
    <x:dxf>
      <x:font>
        <x:b/>
        <x:color rgb="FF067647"/>
      </x:font>
      <x:fill>
        <x:patternFill patternType="solid">
          <x:bgColor rgb="FFE5F5ED"/>
        </x:patternFill>
      </x:fill>
    </x:dxf>
    <x:dxf>
      <x:font>
        <x:b/>
        <x:color rgb="FF067647"/>
      </x:font>
      <x:fill>
        <x:patternFill patternType="solid">
          <x:bgColor rgb="FFE5F5ED"/>
        </x:patternFill>
      </x:fill>
    </x:dxf>
    <x:dxf>
      <x:font>
        <x:b/>
        <x:color rgb="FF294765"/>
      </x:font>
      <x:fill>
        <x:patternFill patternType="solid">
          <x:bgColor rgb="FFE8EEF4"/>
        </x:patternFill>
      </x:fill>
    </x:dxf>
    <x:dxf>
      <x:font>
        <x:b/>
        <x:color rgb="FFB7791F"/>
      </x:font>
      <x:fill>
        <x:patternFill patternType="solid">
          <x:bgColor rgb="FFFFF4D6"/>
        </x:patternFill>
      </x:fill>
    </x:dxf>
    <x:dxf>
      <x:font>
        <x:b/>
        <x:color rgb="FFB42318"/>
      </x:font>
      <x:fill>
        <x:patternFill patternType="solid">
          <x:bgColor rgb="FFFDE9E7"/>
        </x:patternFill>
      </x:fill>
    </x:dxf>
    <x:dxf>
      <x:font>
        <x:b/>
        <x:color rgb="FFB42318"/>
      </x:font>
      <x:fill>
        <x:patternFill patternType="solid">
          <x:bgColor rgb="FFFDE9E7"/>
        </x:patternFill>
      </x:fill>
    </x:dxf>
    <x:dxf>
      <x:font>
        <x:b/>
        <x:color rgb="FFB7791F"/>
      </x:font>
      <x:fill>
        <x:patternFill patternType="solid">
          <x:bgColor rgb="FFFFF4D6"/>
        </x:patternFill>
      </x:fill>
    </x:dxf>
    <x:dxf>
      <x:font>
        <x:color rgb="FF294765"/>
      </x:font>
      <x:fill>
        <x:patternFill patternType="solid">
          <x:bgColor rgb="FFE8EEF4"/>
        </x:patternFill>
      </x:fill>
    </x:dxf>
    <x:dxf>
      <x:font>
        <x:b/>
        <x:color rgb="FF067647"/>
      </x:font>
      <x:fill>
        <x:patternFill patternType="solid">
          <x:bgColor rgb="FFE5F5ED"/>
        </x:patternFill>
      </x:fill>
    </x:dxf>
    <x:dxf>
      <x:font>
        <x:b/>
        <x:color rgb="FF067647"/>
      </x:font>
      <x:fill>
        <x:patternFill patternType="solid">
          <x:bgColor rgb="FFE5F5ED"/>
        </x:patternFill>
      </x:fill>
    </x:dxf>
    <x:dxf>
      <x:font>
        <x:b/>
        <x:color rgb="FF294765"/>
      </x:font>
      <x:fill>
        <x:patternFill patternType="solid">
          <x:bgColor rgb="FFE8EEF4"/>
        </x:patternFill>
      </x:fill>
    </x:dxf>
    <x:dxf>
      <x:font>
        <x:b/>
        <x:color rgb="FFB7791F"/>
      </x:font>
      <x:fill>
        <x:patternFill patternType="solid">
          <x:bgColor rgb="FFFFF4D6"/>
        </x:patternFill>
      </x:fill>
    </x:dxf>
    <x:dxf>
      <x:font>
        <x:b/>
        <x:color rgb="FFB42318"/>
      </x:font>
      <x:fill>
        <x:patternFill patternType="solid">
          <x:bgColor rgb="FFFDE9E7"/>
        </x:patternFill>
      </x:fill>
    </x:dxf>
    <x:dxf>
      <x:font>
        <x:b/>
        <x:color rgb="FF067647"/>
      </x:font>
      <x:fill>
        <x:patternFill patternType="solid">
          <x:bgColor rgb="FFE5F5ED"/>
        </x:patternFill>
      </x:fill>
    </x:dxf>
    <x:dxf>
      <x:font>
        <x:b/>
        <x:color rgb="FFB7791F"/>
      </x:font>
      <x:fill>
        <x:patternFill patternType="solid">
          <x:bgColor rgb="FFFFF4D6"/>
        </x:patternFill>
      </x:fill>
    </x:dxf>
    <x:dxf>
      <x:font>
        <x:b/>
        <x:color rgb="FFB42318"/>
      </x:font>
      <x:fill>
        <x:patternFill patternType="solid">
          <x:bgColor rgb="FFFDE9E7"/>
        </x:patternFill>
      </x:fill>
    </x:dxf>
    <x:dxf>
      <x:font>
        <x:b/>
        <x:color rgb="FF067647"/>
      </x:font>
      <x:fill>
        <x:patternFill patternType="solid">
          <x:bgColor rgb="FFE5F5ED"/>
        </x:patternFill>
      </x:fill>
    </x:dxf>
    <x:dxf>
      <x:font>
        <x:b/>
        <x:color rgb="FF067647"/>
      </x:font>
      <x:fill>
        <x:patternFill patternType="solid">
          <x:bgColor rgb="FFE5F5ED"/>
        </x:patternFill>
      </x:fill>
    </x:dxf>
    <x:dxf>
      <x:font>
        <x:b/>
        <x:color rgb="FF294765"/>
      </x:font>
      <x:fill>
        <x:patternFill patternType="solid">
          <x:bgColor rgb="FFE8EEF4"/>
        </x:patternFill>
      </x:fill>
    </x:dxf>
    <x:dxf>
      <x:font>
        <x:b/>
        <x:color rgb="FFB7791F"/>
      </x:font>
      <x:fill>
        <x:patternFill patternType="solid">
          <x:bgColor rgb="FFFFF4D6"/>
        </x:patternFill>
      </x:fill>
    </x:dxf>
    <x:dxf>
      <x:font>
        <x:b/>
        <x:color rgb="FFB42318"/>
      </x:font>
      <x:fill>
        <x:patternFill patternType="solid">
          <x:bgColor rgb="FFFDE9E7"/>
        </x:patternFill>
      </x:fill>
    </x:dxf>
    <x:dxf>
      <x:font>
        <x:b/>
        <x:color rgb="FF067647"/>
      </x:font>
      <x:fill>
        <x:patternFill patternType="solid">
          <x:bgColor rgb="FFE5F5ED"/>
        </x:patternFill>
      </x:fill>
    </x:dxf>
    <x:dxf>
      <x:font>
        <x:b/>
        <x:color rgb="FF067647"/>
      </x:font>
      <x:fill>
        <x:patternFill patternType="solid">
          <x:bgColor rgb="FFE5F5ED"/>
        </x:patternFill>
      </x:fill>
    </x:dxf>
    <x:dxf>
      <x:font>
        <x:b/>
        <x:color rgb="FF294765"/>
      </x:font>
      <x:fill>
        <x:patternFill patternType="solid">
          <x:bgColor rgb="FFE8EEF4"/>
        </x:patternFill>
      </x:fill>
    </x:dxf>
    <x:dxf>
      <x:font>
        <x:b/>
        <x:color rgb="FFB7791F"/>
      </x:font>
      <x:fill>
        <x:patternFill patternType="solid">
          <x:bgColor rgb="FFFFF4D6"/>
        </x:patternFill>
      </x:fill>
    </x:dxf>
    <x:dxf>
      <x:font>
        <x:b/>
        <x:color rgb="FFB42318"/>
      </x:font>
      <x:fill>
        <x:patternFill patternType="solid">
          <x:bgColor rgb="FFFDE9E7"/>
        </x:patternFill>
      </x:fill>
    </x:dxf>
    <x:dxf>
      <x:font>
        <x:b/>
        <x:color rgb="FF067647"/>
      </x:font>
      <x:fill>
        <x:patternFill patternType="solid">
          <x:bgColor rgb="FFE5F5ED"/>
        </x:patternFill>
      </x:fill>
    </x:dxf>
    <x:dxf>
      <x:font>
        <x:b/>
        <x:color rgb="FF067647"/>
      </x:font>
      <x:fill>
        <x:patternFill patternType="solid">
          <x:bgColor rgb="FFE5F5ED"/>
        </x:patternFill>
      </x:fill>
    </x:dxf>
    <x:dxf>
      <x:font>
        <x:b/>
        <x:color rgb="FF294765"/>
      </x:font>
      <x:fill>
        <x:patternFill patternType="solid">
          <x:bgColor rgb="FFE8EEF4"/>
        </x:patternFill>
      </x:fill>
    </x:dxf>
    <x:dxf>
      <x:font>
        <x:b/>
        <x:color rgb="FFB7791F"/>
      </x:font>
      <x:fill>
        <x:patternFill patternType="solid">
          <x:bgColor rgb="FFFFF4D6"/>
        </x:patternFill>
      </x:fill>
    </x:dxf>
    <x:dxf>
      <x:font>
        <x:b/>
        <x:color rgb="FFB42318"/>
      </x:font>
      <x:fill>
        <x:patternFill patternType="solid">
          <x:bgColor rgb="FFFDE9E7"/>
        </x:patternFill>
      </x:fill>
    </x:dxf>
    <x:dxf>
      <x:font>
        <x:b/>
        <x:color rgb="FF067647"/>
      </x:font>
      <x:fill>
        <x:patternFill patternType="solid">
          <x:bgColor rgb="FFE5F5ED"/>
        </x:patternFill>
      </x:fill>
    </x:dxf>
    <x:dxf>
      <x:font>
        <x:b/>
        <x:color rgb="FF067647"/>
      </x:font>
      <x:fill>
        <x:patternFill patternType="solid">
          <x:bgColor rgb="FFE5F5ED"/>
        </x:patternFill>
      </x:fill>
    </x:dxf>
    <x:dxf>
      <x:font>
        <x:b/>
        <x:color rgb="FF294765"/>
      </x:font>
      <x:fill>
        <x:patternFill patternType="solid">
          <x:bgColor rgb="FFE8EEF4"/>
        </x:patternFill>
      </x:fill>
    </x:dxf>
    <x:dxf>
      <x:font>
        <x:b/>
        <x:color rgb="FFB7791F"/>
      </x:font>
      <x:fill>
        <x:patternFill patternType="solid">
          <x:bgColor rgb="FFFFF4D6"/>
        </x:patternFill>
      </x:fill>
    </x:dxf>
    <x:dxf>
      <x:font>
        <x:b/>
        <x:color rgb="FFB42318"/>
      </x:font>
      <x:fill>
        <x:patternFill patternType="solid">
          <x:bgColor rgb="FFFDE9E7"/>
        </x:patternFill>
      </x:fill>
    </x:dxf>
    <x:dxf>
      <x:font>
        <x:b/>
        <x:color rgb="FFB42318"/>
      </x:font>
      <x:fill>
        <x:patternFill patternType="solid">
          <x:bgColor rgb="FFFDE9E7"/>
        </x:patternFill>
      </x:fill>
    </x:dxf>
    <x:dxf>
      <x:font>
        <x:b/>
        <x:color rgb="FFB7791F"/>
      </x:font>
      <x:fill>
        <x:patternFill patternType="solid">
          <x:bgColor rgb="FFFFF4D6"/>
        </x:patternFill>
      </x:fill>
    </x:dxf>
    <x:dxf>
      <x:font>
        <x:b/>
        <x:color rgb="FF067647"/>
      </x:font>
      <x:fill>
        <x:patternFill patternType="solid">
          <x:bgColor rgb="FFE5F5ED"/>
        </x:patternFill>
      </x:fill>
    </x:dxf>
    <x:dxf>
      <x:font>
        <x:b/>
        <x:color rgb="FF067647"/>
      </x:font>
      <x:fill>
        <x:patternFill patternType="solid">
          <x:bgColor rgb="FFE5F5ED"/>
        </x:patternFill>
      </x:fill>
    </x:dxf>
    <x:dxf>
      <x:font>
        <x:b/>
        <x:color rgb="FF067647"/>
      </x:font>
      <x:fill>
        <x:patternFill patternType="solid">
          <x:bgColor rgb="FFE5F5ED"/>
        </x:patternFill>
      </x:fill>
    </x:dxf>
    <x:dxf>
      <x:font>
        <x:b/>
        <x:color rgb="FF294765"/>
      </x:font>
      <x:fill>
        <x:patternFill patternType="solid">
          <x:bgColor rgb="FFE8EEF4"/>
        </x:patternFill>
      </x:fill>
    </x:dxf>
    <x:dxf>
      <x:font>
        <x:b/>
        <x:color rgb="FFB7791F"/>
      </x:font>
      <x:fill>
        <x:patternFill patternType="solid">
          <x:bgColor rgb="FFFFF4D6"/>
        </x:patternFill>
      </x:fill>
    </x:dxf>
    <x:dxf>
      <x:font>
        <x:b/>
        <x:color rgb="FFB42318"/>
      </x:font>
      <x:fill>
        <x:patternFill patternType="solid">
          <x:bgColor rgb="FFFDE9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97bdb34204f4e71" /><Relationship Type="http://schemas.openxmlformats.org/officeDocument/2006/relationships/theme" Target="/xl/theme/theme1.xml" Id="Rdf0f72a9b6fd48d1" /><Relationship Type="http://schemas.openxmlformats.org/officeDocument/2006/relationships/sharedStrings" Target="/xl/sharedStrings.xml" Id="R6ba25f339dfc4429" /><Relationship Type="http://schemas.openxmlformats.org/officeDocument/2006/relationships/worksheet" Target="/xl/worksheets/sheet1.xml" Id="R7631e7dbfb0f4ca3" /><Relationship Type="http://schemas.openxmlformats.org/officeDocument/2006/relationships/worksheet" Target="/xl/worksheets/sheet2.xml" Id="R166402a34a4644da" /><Relationship Type="http://schemas.openxmlformats.org/officeDocument/2006/relationships/worksheet" Target="/xl/worksheets/sheet3.xml" Id="R9e6a421707694c85" /><Relationship Type="http://schemas.openxmlformats.org/officeDocument/2006/relationships/worksheet" Target="/xl/worksheets/sheet4.xml" Id="Rfa720569829546a6" /><Relationship Type="http://schemas.openxmlformats.org/officeDocument/2006/relationships/worksheet" Target="/xl/worksheets/sheet5.xml" Id="R92b1ca1c764e4259" /><Relationship Type="http://schemas.openxmlformats.org/officeDocument/2006/relationships/worksheet" Target="/xl/worksheets/sheet6.xml" Id="R6024243eddc44649" /><Relationship Type="http://schemas.openxmlformats.org/officeDocument/2006/relationships/worksheet" Target="/xl/worksheets/sheet7.xml" Id="R9c877b7a42f94cc0" /><Relationship Type="http://schemas.openxmlformats.org/officeDocument/2006/relationships/worksheet" Target="/xl/worksheets/sheet8.xml" Id="Rfcb62e21df8d4e70" /><Relationship Type="http://schemas.openxmlformats.org/officeDocument/2006/relationships/worksheet" Target="/xl/worksheets/sheet9.xml" Id="R215bb8c91b824341" /><Relationship Type="http://schemas.openxmlformats.org/officeDocument/2006/relationships/worksheet" Target="/xl/worksheets/sheet10.xml" Id="R865dfcc56ab74a65" /><Relationship Type="http://schemas.openxmlformats.org/officeDocument/2006/relationships/worksheet" Target="/xl/worksheets/sheet11.xml" Id="R671a65491fb040dd" /><Relationship Type="http://schemas.openxmlformats.org/officeDocument/2006/relationships/worksheet" Target="/xl/worksheets/sheet12.xml" Id="Raf836ce1ab1246e8" /><Relationship Type="http://schemas.openxmlformats.org/officeDocument/2006/relationships/worksheet" Target="/xl/worksheets/sheet13.xml" Id="R5dd9bca9b4904b72" /><Relationship Type="http://schemas.openxmlformats.org/officeDocument/2006/relationships/worksheet" Target="/xl/worksheets/sheet14.xml" Id="R0eb5068fb4ce4bfb" /><Relationship Type="http://schemas.openxmlformats.org/officeDocument/2006/relationships/worksheet" Target="/xl/worksheets/sheet15.xml" Id="R03e61d598c2f47a7" /><Relationship Type="http://schemas.openxmlformats.org/officeDocument/2006/relationships/worksheet" Target="/xl/worksheets/sheet16.xml" Id="Red8abd724dec4cec" /><Relationship Type="http://schemas.openxmlformats.org/officeDocument/2006/relationships/worksheet" Target="/xl/worksheets/sheet17.xml" Id="R802c4001eb9e45a7" /><Relationship Type="http://schemas.openxmlformats.org/officeDocument/2006/relationships/worksheet" Target="/xl/worksheets/sheet18.xml" Id="R252b7ce08dbe4c07" /><Relationship Type="http://schemas.microsoft.com/office/2017/10/relationships/person" Target="/xl/persons/person.xml" Id="R05a78df1935442b8" /></Relationships>
</file>

<file path=xl/persons/person.xml><?xml version="1.0" encoding="utf-8"?>
<xltc:personList xmlns:xltc="http://schemas.microsoft.com/office/spreadsheetml/2018/threadedcomments">
  <xltc:person displayName="User" id="{F667400F-E480-4833-99AF-2A2D926DD1FB}"/>
</xltc:personList>
</file>

<file path=xl/tables/table1.xml><?xml version="1.0" encoding="utf-8"?>
<x:table xmlns:x="http://schemas.openxmlformats.org/spreadsheetml/2006/main" id="1" name="DataManifestTable" displayName="DataManifestTable" ref="A4:I38" headerRowCount="1" totalsRowCount="0" totalsRowShown="0">
  <x:autoFilter ref="A4:I38"/>
  <x:tableColumns count="9">
    <x:tableColumn id="1" name="file"/>
    <x:tableColumn id="2" name="dynasty"/>
    <x:tableColumn id="3" name="reign"/>
    <x:tableColumn id="4" name="kind"/>
    <x:tableColumn id="5" name="required"/>
    <x:tableColumn id="6" name="unique"/>
    <x:tableColumn id="7" name="min_count"/>
    <x:tableColumn id="8" name="当前行数"/>
    <x:tableColumn id="9" name="当前列数"/>
  </x:tableColumns>
  <x:tableStyleInfo name="TableStyleMedium2" showFirstColumn="0" showLastColumn="0" showRowStripes="1" showColumnStripes="0"/>
</x:table>
</file>

<file path=xl/tables/table2.xml><?xml version="1.0" encoding="utf-8"?>
<x:table xmlns:x="http://schemas.openxmlformats.org/spreadsheetml/2006/main" id="2" name="QingEmperorsTable" displayName="QingEmperorsTable" ref="A4:W16" headerRowCount="1" totalsRowCount="0" totalsRowShown="0">
  <x:autoFilter ref="A4:W16"/>
  <x:tableColumns count="23">
    <x:tableColumn id="1" name="emperor_id"/>
    <x:tableColumn id="2" name="顺序"/>
    <x:tableColumn id="3" name="规范名"/>
    <x:tableColumn id="4" name="年号或通称"/>
    <x:tableColumn id="5" name="庙号"/>
    <x:tableColumn id="6" name="生年"/>
    <x:tableColumn id="7" name="卒年"/>
    <x:tableColumn id="8" name="在位起"/>
    <x:tableColumn id="9" name="在位止"/>
    <x:tableColumn id="10" name="在位年数"/>
    <x:tableColumn id="11" name="父亲"/>
    <x:tableColumn id="12" name="母亲"/>
    <x:tableColumn id="13" name="前任"/>
    <x:tableColumn id="14" name="继任"/>
    <x:tableColumn id="15" name="陵寝"/>
    <x:tableColumn id="16" name="清史稿本纪"/>
    <x:tableColumn id="17" name="清实录入口"/>
    <x:tableColumn id="18" name="故宫人物页"/>
    <x:tableColumn id="19" name="页面状态"/>
    <x:tableColumn id="20" name="备注"/>
    <x:tableColumn id="21" name="皇子序"/>
    <x:tableColumn id="22" name="外号"/>
    <x:tableColumn id="23" name="谥号"/>
  </x:tableColumns>
  <x:tableStyleInfo name="TableStyleMedium2" showFirstColumn="0" showLastColumn="0" showRowStripes="1" showColumnStripes="0"/>
</x:table>
</file>

<file path=xl/tables/table3.xml><?xml version="1.0" encoding="utf-8"?>
<x:table xmlns:x="http://schemas.openxmlformats.org/spreadsheetml/2006/main" id="3" name="EmperorSourceIndexTable" displayName="EmperorSourceIndexTable" ref="A4:K59" headerRowCount="1" totalsRowCount="0" totalsRowShown="0">
  <x:autoFilter ref="A4:K59"/>
  <x:tableColumns count="11">
    <x:tableColumn id="1" name="index_id"/>
    <x:tableColumn id="2" name="emperor_id"/>
    <x:tableColumn id="3" name="资源名称"/>
    <x:tableColumn id="4" name="资源类型"/>
    <x:tableColumn id="5" name="卷次或范围"/>
    <x:tableColumn id="6" name="访问网址"/>
    <x:tableColumn id="7" name="证据用途"/>
    <x:tableColumn id="8" name="再利用策略"/>
    <x:tableColumn id="9" name="核查日期"/>
    <x:tableColumn id="10" name="状态"/>
    <x:tableColumn id="11" name="open_state"/>
  </x:tableColumns>
  <x:tableStyleInfo name="TableStyleMedium2" showFirstColumn="0" showLastColumn="0" showRowStripes="1" showColumnStripes="0"/>
</x:table>
</file>

<file path=xl/tables/table4.xml><?xml version="1.0" encoding="utf-8"?>
<x:table xmlns:x="http://schemas.openxmlformats.org/spreadsheetml/2006/main" id="4" name="EmperorPortraitsTable" displayName="EmperorPortraitsTable" ref="A4:W58" headerRowCount="1" totalsRowCount="0" totalsRowShown="0">
  <x:autoFilter ref="A4:W58"/>
  <x:tableColumns count="23">
    <x:tableColumn id="1" name="visual_id"/>
    <x:tableColumn id="2" name="emperor_id"/>
    <x:tableColumn id="3" name="人物"/>
    <x:tableColumn id="4" name="对象标题"/>
    <x:tableColumn id="5" name="图像性质"/>
    <x:tableColumn id="6" name="制作年代或摄影日期"/>
    <x:tableColumn id="7" name="作者或摄影者"/>
    <x:tableColumn id="8" name="文件页"/>
    <x:tableColumn id="9" name="预览文件"/>
    <x:tableColumn id="10" name="文件页标示许可"/>
    <x:tableColumn id="11" name="权利颜色"/>
    <x:tableColumn id="12" name="可本地保存"/>
    <x:tableColumn id="13" name="可公开展示"/>
    <x:tableColumn id="14" name="对象认定状态"/>
    <x:tableColumn id="15" name="核查日期"/>
    <x:tableColumn id="16" name="使用说明"/>
    <x:tableColumn id="17" name="待核问题"/>
    <x:tableColumn id="18" name="展示角色"/>
    <x:tableColumn id="19" name="关键标注"/>
    <x:tableColumn id="20" name="画面解析"/>
    <x:tableColumn id="21" name="释文"/>
    <x:tableColumn id="22" name="卡片钩子"/>
    <x:tableColumn id="23" name="馆藏登录号"/>
  </x:tableColumns>
  <x:tableStyleInfo name="TableStyleMedium2" showFirstColumn="0" showLastColumn="0" showRowStripes="1" showColumnStripes="0"/>
</x:table>
</file>

<file path=xl/tables/table5.xml><?xml version="1.0" encoding="utf-8"?>
<x:table xmlns:x="http://schemas.openxmlformats.org/spreadsheetml/2006/main" id="5" name="PersistentTaskQueueTable" displayName="PersistentTaskQueueTable" ref="A4:M31" headerRowCount="1" totalsRowCount="0" totalsRowShown="0">
  <x:autoFilter ref="A4:M31"/>
  <x:tableColumns count="13">
    <x:tableColumn id="1" name="task_id"/>
    <x:tableColumn id="2" name="emperor_id"/>
    <x:tableColumn id="3" name="数据包"/>
    <x:tableColumn id="4" name="任务"/>
    <x:tableColumn id="5" name="目标来源"/>
    <x:tableColumn id="6" name="预期产物"/>
    <x:tableColumn id="7" name="前置任务"/>
    <x:tableColumn id="8" name="状态"/>
    <x:tableColumn id="9" name="上次完成位置"/>
    <x:tableColumn id="10" name="未决问题"/>
    <x:tableColumn id="11" name="下一步动作"/>
    <x:tableColumn id="12" name="优先级"/>
    <x:tableColumn id="13" name="质量检查"/>
  </x:tableColumns>
  <x:tableStyleInfo name="TableStyleMedium2" showFirstColumn="0" showLastColumn="0" showRowStripes="1" showColumnStripes="0"/>
</x:table>
</file>

<file path=xl/tables/table6.xml><?xml version="1.0" encoding="utf-8"?>
<x:table xmlns:x="http://schemas.openxmlformats.org/spreadsheetml/2006/main" id="6" name="EntityIdCrosswalkTable" displayName="EntityIdCrosswalkTable" ref="A4:F16" headerRowCount="1" totalsRowCount="0" totalsRowShown="0">
  <x:autoFilter ref="A4:F16"/>
  <x:tableColumns count="6">
    <x:tableColumn id="1" name="entity_role"/>
    <x:tableColumn id="2" name="person_id"/>
    <x:tableColumn id="3" name="legacy_emperor_id"/>
    <x:tableColumn id="4" name="canonical_name"/>
    <x:tableColumn id="5" name="status"/>
    <x:tableColumn id="6" name="note"/>
  </x:tableColumns>
  <x:tableStyleInfo name="TableStyleMedium2" showFirstColumn="0" showLastColumn="0" showRowStripes="1" showColumnStripes="0"/>
</x:table>
</file>

<file path=xl/tables/table7.xml><?xml version="1.0" encoding="utf-8"?>
<x:table xmlns:x="http://schemas.openxmlformats.org/spreadsheetml/2006/main" id="7" name="QingEmperorResearchCardsTable" displayName="QingEmperorResearchCardsTable" ref="A4:R16" headerRowCount="1" totalsRowCount="0" totalsRowShown="0">
  <x:autoFilter ref="A4:R16"/>
  <x:tableColumns count="18">
    <x:tableColumn id="1" name="person_id"/>
    <x:tableColumn id="2" name="legacy_emperor_id"/>
    <x:tableColumn id="3" name="姓名"/>
    <x:tableColumn id="4" name="庙号"/>
    <x:tableColumn id="5" name="年号"/>
    <x:tableColumn id="6" name="在位口径"/>
    <x:tableColumn id="7" name="父亲"/>
    <x:tableColumn id="8" name="生母或母系说明"/>
    <x:tableColumn id="9" name="主要皇后或配偶候选"/>
    <x:tableColumn id="10" name="主要子女候选"/>
    <x:tableColumn id="11" name="重大事件骨架"/>
    <x:tableColumn id="12" name="必须保留的争议或边界"/>
    <x:tableColumn id="13" name="清史稿本纪"/>
    <x:tableColumn id="14" name="实录或政纪卷数"/>
    <x:tableColumn id="15" name="故宫人物页"/>
    <x:tableColumn id="16" name="证据状态"/>
    <x:tableColumn id="17" name="审核层级"/>
    <x:tableColumn id="18" name="说明"/>
  </x:tableColumns>
  <x:tableStyleInfo name="TableStyleMedium2" showFirstColumn="0" showLastColumn="0" showRowStripes="1" showColumnStripes="0"/>
</x:table>
</file>

<file path=xl/tables/table8.xml><?xml version="1.0" encoding="utf-8"?>
<x:table xmlns:x="http://schemas.openxmlformats.org/spreadsheetml/2006/main" id="8" name="EmperorSourceUnitsTable" displayName="EmperorSourceUnitsTable" ref="A4:M49" headerRowCount="1" totalsRowCount="0" totalsRowShown="0">
  <x:autoFilter ref="A4:M49"/>
  <x:tableColumns count="13">
    <x:tableColumn id="1" name="source_unit_id"/>
    <x:tableColumn id="2" name="source_entity_id"/>
    <x:tableColumn id="3" name="史料名"/>
    <x:tableColumn id="4" name="卷次"/>
    <x:tableColumn id="5" name="原纪年"/>
    <x:tableColumn id="6" name="网页公历标示"/>
    <x:tableColumn id="7" name="当日条次"/>
    <x:tableColumn id="8" name="直接记录网址"/>
    <x:tableColumn id="9" name="数字底本说明"/>
    <x:tableColumn id="10" name="证据等级"/>
    <x:tableColumn id="11" name="权利策略"/>
    <x:tableColumn id="12" name="核查日期"/>
    <x:tableColumn id="13" name="说明"/>
  </x:tableColumns>
  <x:tableStyleInfo name="TableStyleMedium2" showFirstColumn="0" showLastColumn="0" showRowStripes="1" showColumnStripes="0"/>
</x:table>
</file>

<file path=xl/tables/table9.xml><?xml version="1.0" encoding="utf-8"?>
<x:table xmlns:x="http://schemas.openxmlformats.org/spreadsheetml/2006/main" id="9" name="SixBatchPlanTable" displayName="SixBatchPlanTable" ref="A4:K22" headerRowCount="1" totalsRowCount="0" totalsRowShown="0">
  <x:autoFilter ref="A4:K22"/>
  <x:tableColumns count="11">
    <x:tableColumn id="1" name="任务 ID"/>
    <x:tableColumn id="2" name="批次"/>
    <x:tableColumn id="3" name="工作流"/>
    <x:tableColumn id="4" name="任务"/>
    <x:tableColumn id="5" name="完成定义"/>
    <x:tableColumn id="6" name="优先级"/>
    <x:tableColumn id="7" name="状态"/>
    <x:tableColumn id="8" name="责任人"/>
    <x:tableColumn id="9" name="开始日期"/>
    <x:tableColumn id="10" name="截止日期"/>
    <x:tableColumn id="11" name="备注"/>
  </x:tableColumns>
  <x:tableStyleInfo name="TableStyleMedium2" showFirstColumn="0" showLastColumn="0" showRowStripes="1" showColumnStripes="0"/>
</x:table>
</file>

<file path=xl/tables/table10.xml><?xml version="1.0" encoding="utf-8"?>
<x:table xmlns:x="http://schemas.openxmlformats.org/spreadsheetml/2006/main" id="10" name="Phase0PeopleTable" displayName="Phase0PeopleTable" ref="A4:M120" headerRowCount="1" totalsRowCount="0" totalsRowShown="0">
  <x:autoFilter ref="A4:M120"/>
  <x:tableColumns count="13">
    <x:tableColumn id="1" name="person_id"/>
    <x:tableColumn id="2" name="序号"/>
    <x:tableColumn id="3" name="分组"/>
    <x:tableColumn id="4" name="规范名"/>
    <x:tableColumn id="5" name="常用名或异名"/>
    <x:tableColumn id="6" name="人物类型"/>
    <x:tableColumn id="7" name="优先级"/>
    <x:tableColumn id="8" name="选择理由"/>
    <x:tableColumn id="9" name="核心待核主张"/>
    <x:tableColumn id="10" name="首要史料入口"/>
    <x:tableColumn id="11" name="工作状态"/>
    <x:tableColumn id="12" name="责任人"/>
    <x:tableColumn id="13" name="审核备注"/>
  </x:tableColumns>
  <x:tableStyleInfo name="TableStyleMedium2" showFirstColumn="0" showLastColumn="0" showRowStripes="1" showColumnStripes="0"/>
</x:table>
</file>

<file path=xl/tables/table11.xml><?xml version="1.0" encoding="utf-8"?>
<x:table xmlns:x="http://schemas.openxmlformats.org/spreadsheetml/2006/main" id="11" name="SourceRightsTable" displayName="SourceRightsTable" ref="A4:S31" headerRowCount="1" totalsRowCount="0" totalsRowShown="0">
  <x:autoFilter ref="A4:S31"/>
  <x:tableColumns count="19">
    <x:tableColumn id="1" name="source_id"/>
    <x:tableColumn id="2" name="机构或资源"/>
    <x:tableColumn id="3" name="资源类型"/>
    <x:tableColumn id="4" name="证据等级"/>
    <x:tableColumn id="5" name="核心内容"/>
    <x:tableColumn id="6" name="访问方式"/>
    <x:tableColumn id="7" name="权利颜色"/>
    <x:tableColumn id="8" name="可本地保存"/>
    <x:tableColumn id="9" name="可公开展示"/>
    <x:tableColumn id="10" name="可商业使用"/>
    <x:tableColumn id="11" name="可模型训练"/>
    <x:tableColumn id="12" name="使用策略"/>
    <x:tableColumn id="13" name="限制摘要"/>
    <x:tableColumn id="14" name="资源网址"/>
    <x:tableColumn id="15" name="权利或规则网址"/>
    <x:tableColumn id="16" name="核查日期"/>
    <x:tableColumn id="17" name="下一动作"/>
    <x:tableColumn id="18" name="责任角色"/>
    <x:tableColumn id="19" name="状态"/>
  </x:tableColumns>
  <x:tableStyleInfo name="TableStyleMedium2" showFirstColumn="0" showLastColumn="0" showRowStripes="1" showColumnStripes="0"/>
</x:table>
</file>

<file path=xl/tables/table12.xml><?xml version="1.0" encoding="utf-8"?>
<x:table xmlns:x="http://schemas.openxmlformats.org/spreadsheetml/2006/main" id="12" name="ClaimsWorkbenchTable" displayName="ClaimsWorkbenchTable" ref="A4:W189" headerRowCount="1" totalsRowCount="0" totalsRowShown="0">
  <x:autoFilter ref="A4:W189"/>
  <x:tableColumns count="23">
    <x:tableColumn id="1" name="Assertion ID"/>
    <x:tableColumn id="2" name="主张类型"/>
    <x:tableColumn id="3" name="主体 ID"/>
    <x:tableColumn id="4" name="谓词/关系"/>
    <x:tableColumn id="5" name="客体 ID 或值"/>
    <x:tableColumn id="6" name="原始时间表达"/>
    <x:tableColumn id="7" name="公历下界"/>
    <x:tableColumn id="8" name="公历上界"/>
    <x:tableColumn id="9" name="确定性"/>
    <x:tableColumn id="10" name="状态"/>
    <x:tableColumn id="11" name="来源实体 ID"/>
    <x:tableColumn id="12" name="卷页/档号/图像定位"/>
    <x:tableColumn id="13" name="支持引文"/>
    <x:tableColumn id="14" name="证据立场"/>
    <x:tableColumn id="15" name="证据直接性"/>
    <x:tableColumn id="16" name="证据强度"/>
    <x:tableColumn id="17" name="来源家族 ID"/>
    <x:tableColumn id="18" name="冲突组 ID"/>
    <x:tableColumn id="19" name="获取方式"/>
    <x:tableColumn id="20" name="录入人"/>
    <x:tableColumn id="21" name="复核人"/>
    <x:tableColumn id="22" name="复核日期"/>
    <x:tableColumn id="23" name="编辑备注"/>
  </x:tableColumns>
  <x:tableStyleInfo name="TableStyleMedium2" showFirstColumn="0" showLastColumn="0" showRowStripes="1" showColumnStripes="0"/>
</x:table>
</file>

<file path=xl/tables/table13.xml><?xml version="1.0" encoding="utf-8"?>
<x:table xmlns:x="http://schemas.openxmlformats.org/spreadsheetml/2006/main" id="13" name="RelationshipClaimsTable" displayName="RelationshipClaimsTable" ref="A4:W7" headerRowCount="1" totalsRowCount="0" totalsRowShown="0">
  <x:autoFilter ref="A4:W7"/>
  <x:tableColumns count="23">
    <x:tableColumn id="1" name="Assertion ID"/>
    <x:tableColumn id="2" name="主张类型"/>
    <x:tableColumn id="3" name="主体 ID"/>
    <x:tableColumn id="4" name="谓词/关系"/>
    <x:tableColumn id="5" name="客体 ID 或值"/>
    <x:tableColumn id="6" name="原始时间表达"/>
    <x:tableColumn id="7" name="公历下界"/>
    <x:tableColumn id="8" name="公历上界"/>
    <x:tableColumn id="9" name="确定性"/>
    <x:tableColumn id="10" name="状态"/>
    <x:tableColumn id="11" name="来源实体 ID"/>
    <x:tableColumn id="12" name="卷页/档号/图像定位"/>
    <x:tableColumn id="13" name="支持引文"/>
    <x:tableColumn id="14" name="证据立场"/>
    <x:tableColumn id="15" name="证据直接性"/>
    <x:tableColumn id="16" name="证据强度"/>
    <x:tableColumn id="17" name="来源家族 ID"/>
    <x:tableColumn id="18" name="冲突组 ID"/>
    <x:tableColumn id="19" name="获取方式"/>
    <x:tableColumn id="20" name="录入人"/>
    <x:tableColumn id="21" name="复核人"/>
    <x:tableColumn id="22" name="复核日期"/>
    <x:tableColumn id="23" name="编辑备注"/>
  </x:tableColumns>
  <x:tableStyleInfo name="TableStyleMedium2" showFirstColumn="0" showLastColumn="0" showRowStripes="1" showColumnStripes="0"/>
</x:table>
</file>

<file path=xl/tables/table14.xml><?xml version="1.0" encoding="utf-8"?>
<x:table xmlns:x="http://schemas.openxmlformats.org/spreadsheetml/2006/main" id="14" name="ImageRegionsTable" displayName="ImageRegionsTable" ref="A4:J19" headerRowCount="1" totalsRowCount="0" totalsRowShown="0">
  <x:autoFilter ref="A4:J19"/>
  <x:tableColumns count="10">
    <x:tableColumn id="1" name="region_id"/>
    <x:tableColumn id="2" name="visual_id"/>
    <x:tableColumn id="3" name="region_label"/>
    <x:tableColumn id="4" name="x"/>
    <x:tableColumn id="5" name="y"/>
    <x:tableColumn id="6" name="w"/>
    <x:tableColumn id="7" name="h"/>
    <x:tableColumn id="8" name="assertion_id"/>
    <x:tableColumn id="9" name="evidence_stance"/>
    <x:tableColumn id="10" name="note"/>
  </x:tableColumns>
  <x:tableStyleInfo name="TableStyleMedium2" showFirstColumn="0" showLastColumn="0" showRowStripes="1" showColumnStripes="0"/>
</x:table>
</file>

<file path=xl/tables/table15.xml><?xml version="1.0" encoding="utf-8"?>
<x:table xmlns:x="http://schemas.openxmlformats.org/spreadsheetml/2006/main" id="15" name="DecisionLogTable" displayName="DecisionLogTable" ref="A4:K13" headerRowCount="1" totalsRowCount="0" totalsRowShown="0">
  <x:autoFilter ref="A4:K13"/>
  <x:tableColumns count="11">
    <x:tableColumn id="1" name="决策 ID"/>
    <x:tableColumn id="2" name="日期"/>
    <x:tableColumn id="3" name="问题"/>
    <x:tableColumn id="4" name="考虑的选项"/>
    <x:tableColumn id="5" name="最终决定"/>
    <x:tableColumn id="6" name="理由与证据"/>
    <x:tableColumn id="7" name="决策人"/>
    <x:tableColumn id="8" name="影响"/>
    <x:tableColumn id="9" name="复核触发器"/>
    <x:tableColumn id="10" name="状态"/>
    <x:tableColumn id="11" name="备注"/>
  </x:tableColumns>
  <x:tableStyleInfo name="TableStyleMedium2" showFirstColumn="0" showLastColumn="0" showRowStripes="1" showColumnStripes="0"/>
</x:table>
</file>

<file path=xl/tables/table16.xml><?xml version="1.0" encoding="utf-8"?>
<x:table xmlns:x="http://schemas.openxmlformats.org/spreadsheetml/2006/main" id="16" name="RiskRegisterTable" displayName="RiskRegisterTable" ref="A4:J22" headerRowCount="1" totalsRowCount="0" totalsRowShown="0">
  <x:autoFilter ref="A4:J22"/>
  <x:tableColumns count="10">
    <x:tableColumn id="1" name="风险 ID"/>
    <x:tableColumn id="2" name="风险"/>
    <x:tableColumn id="3" name="概率 P"/>
    <x:tableColumn id="4" name="影响 I"/>
    <x:tableColumn id="5" name="分数"/>
    <x:tableColumn id="6" name="早期触发信号"/>
    <x:tableColumn id="7" name="应对措施"/>
    <x:tableColumn id="8" name="责任角色"/>
    <x:tableColumn id="9" name="状态"/>
    <x:tableColumn id="10" name="截止/复核日期"/>
  </x:tableColumns>
  <x:tableStyleInfo name="TableStyleMedium2" showFirstColumn="0" showLastColumn="0" showRowStripes="1" showColumnStripes="0"/>
</x:table>
</file>

<file path=xl/tables/table17.xml><?xml version="1.0" encoding="utf-8"?>
<x:table xmlns:x="http://schemas.openxmlformats.org/spreadsheetml/2006/main" id="17" name="ControlledVocabulariesTable" displayName="ControlledVocabulariesTable" ref="A4:J227" headerRowCount="1" totalsRowCount="0" totalsRowShown="0">
  <x:autoFilter ref="A4:J227"/>
  <x:tableColumns count="10">
    <x:tableColumn id="1" name="scheme_code"/>
    <x:tableColumn id="2" name="scheme_label"/>
    <x:tableColumn id="3" name="term_code"/>
    <x:tableColumn id="4" name="中文标签"/>
    <x:tableColumn id="5" name="英文标签"/>
    <x:tableColumn id="6" name="定义"/>
    <x:tableColumn id="7" name="上位词"/>
    <x:tableColumn id="8" name="逆关系"/>
    <x:tableColumn id="9" name="是否启用"/>
    <x:tableColumn id="10" name="排序"/>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J4" dT="2026-08-17T08:09:00.572" personId="{F667400F-E480-4833-99AF-2A2D926DD1FB}" id="{6BAB7B59-1E99-9948-06CB-0603E0DB65C1}">
    <xltc:text>Commons 分类页不能替代逐文件许可页；许可状态变化时应重新核查并能撤下本地文件。 </xltc:text>
  </xltc:threadedComment>
</xltc:ThreadedComments>
</file>

<file path=xl/threadedcomments/threadedcomment2.xml><?xml version="1.0" encoding="utf-8"?>
<xltc:ThreadedComments xmlns:xltc="http://schemas.microsoft.com/office/spreadsheetml/2018/threadedcomments">
  <xltc:threadedComment ref="H4" dT="2026-08-17T08:09:00.572" personId="{F667400F-E480-4833-99AF-2A2D926DD1FB}" id="{8ABD4F49-CD02-BB56-D31E-8A6469756359}">
    <xltc:text>任务状态以磁盘台账为准；每轮工作结束必须更新完成位置、未决问题和下一动作。 </xltc:text>
  </xltc:threadedComment>
</xltc:ThreadedComments>
</file>

<file path=xl/threadedcomments/threadedcomment3.xml><?xml version="1.0" encoding="utf-8"?>
<xltc:ThreadedComments xmlns:xltc="http://schemas.microsoft.com/office/spreadsheetml/2018/threadedcomments">
  <xltc:threadedComment ref="G4" dT="2026-08-17T08:09:00.572" personId="{F667400F-E480-4833-99AF-2A2D926DD1FB}" id="{A15785FE-AEB9-4E1E-A80E-815853BDBF77}">
    <xltc:text>绿色也必须逐对象核对许可；机构有 Open Data 不代表该机构所有图像和档案均开放。 </xltc:text>
  </xltc:threadedComment>
</xltc:ThreadedComments>
</file>

<file path=xl/threadedcomments/threadedcomment4.xml><?xml version="1.0" encoding="utf-8"?>
<xltc:ThreadedComments xmlns:xltc="http://schemas.microsoft.com/office/spreadsheetml/2018/threadedcomments">
  <xltc:threadedComment ref="J4" dT="2026-08-17T08:09:00.57" personId="{F667400F-E480-4833-99AF-2A2D926DD1FB}" id="{A582590C-630C-B5A3-4CEF-362F3D0318CE}">
    <xltc:text>只有已采纳或有争议且完成规定复核的主张才可进入正式产品视图；AI 不得自行改变此列。 </xltc:text>
  </xltc:threadedComment>
</xltc:ThreadedComments>
</file>

<file path=xl/threadedcomments/threadedcomment5.xml><?xml version="1.0" encoding="utf-8"?>
<xltc:ThreadedComments xmlns:xltc="http://schemas.microsoft.com/office/spreadsheetml/2018/threadedcomments">
  <xltc:threadedComment ref="D4" dT="2026-08-17T08:09:00.572" personId="{F667400F-E480-4833-99AF-2A2D926DD1FB}" id="{E3385147-369E-5B8E-2BB8-7AC09C2A6108}">
    <xltc:text>不要使用笼统的“母亲”关系。至少区分生母、嫡母/法定母、礼仪母、正式收养与抚育者。 </xltc:text>
  </xltc:threadedComment>
</xltc:ThreadedComments>
</file>

<file path=xl/worksheets/_rels/sheet2.xml.rels>&#65279;<?xml version="1.0" encoding="utf-8"?><Relationships xmlns="http://schemas.openxmlformats.org/package/2006/relationships"><Relationship Type="http://schemas.openxmlformats.org/officeDocument/2006/relationships/table" Target="/xl/tables/table1.xml" Id="R91bd3db3616347b4" /></Relationships>
</file>

<file path=xl/worksheets/_rels/sheet3.xml.rels>&#65279;<?xml version="1.0" encoding="utf-8"?><Relationships xmlns="http://schemas.openxmlformats.org/package/2006/relationships"><Relationship Type="http://schemas.openxmlformats.org/officeDocument/2006/relationships/table" Target="/xl/tables/table2.xml" Id="R26c51088bfae4e5f" /></Relationships>
</file>

<file path=xl/worksheets/_rels/sheet4.xml.rels>&#65279;<?xml version="1.0" encoding="utf-8"?><Relationships xmlns="http://schemas.openxmlformats.org/package/2006/relationships"><Relationship Type="http://schemas.openxmlformats.org/officeDocument/2006/relationships/table" Target="/xl/tables/table3.xml" Id="Ra3f4c0eb14c8444d" /></Relationships>
</file>

<file path=xl/worksheets/_rels/sheet5.xml.rels>&#65279;<?xml version="1.0" encoding="utf-8"?><Relationships xmlns="http://schemas.openxmlformats.org/package/2006/relationships"><Relationship Type="http://schemas.openxmlformats.org/officeDocument/2006/relationships/comments" Target="/xl/comments1.xml" Id="Rc7160d44e3264cf2" /><Relationship Type="http://schemas.openxmlformats.org/officeDocument/2006/relationships/vmlDrawing" Target="/xl/drawings/vmldrawing.vml" Id="Rab11fad3a0094a6d" /><Relationship Type="http://schemas.microsoft.com/office/2017/10/relationships/threadedComment" Target="/xl/threadedcomments/threadedcomment.xml" Id="R52b8a38398e4481a" /><Relationship Type="http://schemas.openxmlformats.org/officeDocument/2006/relationships/table" Target="/xl/tables/table4.xml" Id="Rbc4a06ea0e404d6d" /></Relationships>
</file>

<file path=xl/worksheets/_rels/sheet6.xml.rels>&#65279;<?xml version="1.0" encoding="utf-8"?><Relationships xmlns="http://schemas.openxmlformats.org/package/2006/relationships"><Relationship Type="http://schemas.openxmlformats.org/officeDocument/2006/relationships/comments" Target="/xl/comments2.xml" Id="R76126b5422ea4a76" /><Relationship Type="http://schemas.openxmlformats.org/officeDocument/2006/relationships/vmlDrawing" Target="/xl/drawings/vmldrawing2.vml" Id="R617f6732940f4af7" /><Relationship Type="http://schemas.microsoft.com/office/2017/10/relationships/threadedComment" Target="/xl/threadedcomments/threadedcomment2.xml" Id="Re86ee24a215641cb" /><Relationship Type="http://schemas.openxmlformats.org/officeDocument/2006/relationships/table" Target="/xl/tables/table5.xml" Id="Raceb4e37306e4c9b" /></Relationships>
</file>

<file path=xl/worksheets/_rels/sheet7.xml.rels>&#65279;<?xml version="1.0" encoding="utf-8"?><Relationships xmlns="http://schemas.openxmlformats.org/package/2006/relationships"><Relationship Type="http://schemas.openxmlformats.org/officeDocument/2006/relationships/table" Target="/xl/tables/table6.xml" Id="Rd2ca04b055714186" /></Relationships>
</file>

<file path=xl/worksheets/_rels/sheet8.xml.rels>&#65279;<?xml version="1.0" encoding="utf-8"?><Relationships xmlns="http://schemas.openxmlformats.org/package/2006/relationships"><Relationship Type="http://schemas.openxmlformats.org/officeDocument/2006/relationships/table" Target="/xl/tables/table7.xml" Id="R7e4f924458c24448" /></Relationships>
</file>

<file path=xl/worksheets/_rels/sheet9.xml.rels>&#65279;<?xml version="1.0" encoding="utf-8"?><Relationships xmlns="http://schemas.openxmlformats.org/package/2006/relationships"><Relationship Type="http://schemas.openxmlformats.org/officeDocument/2006/relationships/table" Target="/xl/tables/table8.xml" Id="R32292f02b78445bc" /></Relationships>
</file>

<file path=xl/worksheets/_rels/sheet10.xml.rels>&#65279;<?xml version="1.0" encoding="utf-8"?><Relationships xmlns="http://schemas.openxmlformats.org/package/2006/relationships"><Relationship Type="http://schemas.openxmlformats.org/officeDocument/2006/relationships/table" Target="/xl/tables/table9.xml" Id="Rfc63db32f4d4442a" /></Relationships>
</file>

<file path=xl/worksheets/_rels/sheet11.xml.rels>&#65279;<?xml version="1.0" encoding="utf-8"?><Relationships xmlns="http://schemas.openxmlformats.org/package/2006/relationships"><Relationship Type="http://schemas.openxmlformats.org/officeDocument/2006/relationships/table" Target="/xl/tables/table10.xml" Id="R6b3224fa4f8a4c74" /></Relationships>
</file>

<file path=xl/worksheets/_rels/sheet12.xml.rels>&#65279;<?xml version="1.0" encoding="utf-8"?><Relationships xmlns="http://schemas.openxmlformats.org/package/2006/relationships"><Relationship Type="http://schemas.openxmlformats.org/officeDocument/2006/relationships/comments" Target="/xl/comments3.xml" Id="Rfbc308b7b9644165" /><Relationship Type="http://schemas.openxmlformats.org/officeDocument/2006/relationships/vmlDrawing" Target="/xl/drawings/vmldrawing3.vml" Id="R7be1cea3cfa9404c" /><Relationship Type="http://schemas.microsoft.com/office/2017/10/relationships/threadedComment" Target="/xl/threadedcomments/threadedcomment3.xml" Id="R61da0a867bfc4bc7" /><Relationship Type="http://schemas.openxmlformats.org/officeDocument/2006/relationships/table" Target="/xl/tables/table11.xml" Id="Rc1507fc798c7485f" /></Relationships>
</file>

<file path=xl/worksheets/_rels/sheet13.xml.rels>&#65279;<?xml version="1.0" encoding="utf-8"?><Relationships xmlns="http://schemas.openxmlformats.org/package/2006/relationships"><Relationship Type="http://schemas.openxmlformats.org/officeDocument/2006/relationships/comments" Target="/xl/comments4.xml" Id="R86006fd12c8948a6" /><Relationship Type="http://schemas.openxmlformats.org/officeDocument/2006/relationships/vmlDrawing" Target="/xl/drawings/vmldrawing4.vml" Id="Rf26b5914bfca4261" /><Relationship Type="http://schemas.microsoft.com/office/2017/10/relationships/threadedComment" Target="/xl/threadedcomments/threadedcomment4.xml" Id="R31251617543a4c42" /><Relationship Type="http://schemas.openxmlformats.org/officeDocument/2006/relationships/table" Target="/xl/tables/table12.xml" Id="Radd721a2f31d44a1" /></Relationships>
</file>

<file path=xl/worksheets/_rels/sheet14.xml.rels>&#65279;<?xml version="1.0" encoding="utf-8"?><Relationships xmlns="http://schemas.openxmlformats.org/package/2006/relationships"><Relationship Type="http://schemas.openxmlformats.org/officeDocument/2006/relationships/comments" Target="/xl/comments5.xml" Id="R63c4adceeaf74e54" /><Relationship Type="http://schemas.openxmlformats.org/officeDocument/2006/relationships/vmlDrawing" Target="/xl/drawings/vmldrawing5.vml" Id="R13ba5bc13c5d470d" /><Relationship Type="http://schemas.microsoft.com/office/2017/10/relationships/threadedComment" Target="/xl/threadedcomments/threadedcomment5.xml" Id="R1aa9f760fa264f72" /><Relationship Type="http://schemas.openxmlformats.org/officeDocument/2006/relationships/table" Target="/xl/tables/table13.xml" Id="R4b8c1c57f7904ed4" /></Relationships>
</file>

<file path=xl/worksheets/_rels/sheet15.xml.rels>&#65279;<?xml version="1.0" encoding="utf-8"?><Relationships xmlns="http://schemas.openxmlformats.org/package/2006/relationships"><Relationship Type="http://schemas.openxmlformats.org/officeDocument/2006/relationships/table" Target="/xl/tables/table14.xml" Id="R9fadb5d156a240b0" /></Relationships>
</file>

<file path=xl/worksheets/_rels/sheet16.xml.rels>&#65279;<?xml version="1.0" encoding="utf-8"?><Relationships xmlns="http://schemas.openxmlformats.org/package/2006/relationships"><Relationship Type="http://schemas.openxmlformats.org/officeDocument/2006/relationships/table" Target="/xl/tables/table15.xml" Id="R138f8e970aec4332" /></Relationships>
</file>

<file path=xl/worksheets/_rels/sheet17.xml.rels>&#65279;<?xml version="1.0" encoding="utf-8"?><Relationships xmlns="http://schemas.openxmlformats.org/package/2006/relationships"><Relationship Type="http://schemas.openxmlformats.org/officeDocument/2006/relationships/table" Target="/xl/tables/table16.xml" Id="Ra26340f5ddc5409b" /></Relationships>
</file>

<file path=xl/worksheets/_rels/sheet18.xml.rels>&#65279;<?xml version="1.0" encoding="utf-8"?><Relationships xmlns="http://schemas.openxmlformats.org/package/2006/relationships"><Relationship Type="http://schemas.openxmlformats.org/officeDocument/2006/relationships/table" Target="/xl/tables/table17.xml" Id="R19fec6fb4304489f" /></Relationships>
</file>

<file path=xl/worksheets/sheet1.xml><?xml version="1.0" encoding="utf-8"?>
<x:worksheet xmlns:x="http://schemas.openxmlformats.org/spreadsheetml/2006/main">
  <x:sheetViews>
    <x:sheetView showGridLines="0" workbookViewId="0"/>
  </x:sheetViews>
  <x:sheetFormatPr defaultRowHeight="15"/>
  <x:cols>
    <x:col min="1" max="1" width="17" hidden="0" customWidth="1"/>
    <x:col min="2" max="2" width="13" hidden="0" customWidth="1"/>
    <x:col min="3" max="3" width="13" hidden="0" customWidth="1"/>
    <x:col min="4" max="4" width="18" hidden="0" customWidth="1"/>
    <x:col min="5" max="5" width="13" hidden="0" customWidth="1"/>
    <x:col min="6" max="6" width="13" hidden="0" customWidth="1"/>
    <x:col min="7" max="7" width="17" hidden="0" customWidth="1"/>
    <x:col min="8" max="8" width="13" hidden="0" customWidth="1"/>
    <x:col min="9" max="9" width="13" hidden="0" customWidth="1"/>
    <x:col min="10" max="10" width="18" hidden="0" customWidth="1"/>
    <x:col min="11" max="11" width="13" hidden="0" customWidth="1"/>
    <x:col min="12" max="12" width="13" hidden="0" customWidth="1"/>
  </x:cols>
  <x:sheetData>
    <x:row r="1" ht="34" customHeight="1">
      <x:c r="A1" s="3" t="str">
        <x:v>清史证据库 · 零预算工作台</x:v>
      </x:c>
    </x:row>
    <x:row r="2" ht="24" customHeight="1">
      <x:c r="A2" s="6" t="str">
        <x:v>范围：十二帝骨架＋4帝来源包｜现金预算0元｜所有关键事实必须回到具体版本、卷页、档号或逐文件许可页</x:v>
      </x:c>
    </x:row>
    <x:row r="4" ht="34" customHeight="1">
      <x:c r="A4" s="10" t="str">
        <x:v>执行状态：清单自动发现 4 个帝王主张包与 4 个来源单元包；当前合并 185 条主张、45 个来源单元。未经回查的内容仍为候选或待核。</x:v>
      </x:c>
    </x:row>
    <x:row r="6">
      <x:c r="A6" s="16" t="str">
        <x:v>十二帝骨架</x:v>
      </x:c>
      <x:c r="B6" s="17" t="str">
        <x:v>十二帝骨架</x:v>
      </x:c>
      <x:c r="D6" s="16" t="str">
        <x:v>人物档案</x:v>
      </x:c>
      <x:c r="E6" s="17" t="str">
        <x:v>人物档案</x:v>
      </x:c>
      <x:c r="G6" s="16" t="str">
        <x:v>画像记录</x:v>
      </x:c>
      <x:c r="H6" s="17" t="str">
        <x:v>画像记录</x:v>
      </x:c>
      <x:c r="J6" s="16" t="str">
        <x:v>史料索引</x:v>
      </x:c>
      <x:c r="K6" s="17" t="str">
        <x:v>史料索引</x:v>
      </x:c>
    </x:row>
    <x:row r="7">
      <x:c r="A7" s="32" t="n">
        <x:f>COUNTA('十二帝总档'!$A$5:$A$16)</x:f>
        <x:v>12</x:v>
      </x:c>
      <x:c r="B7" s="33"/>
      <x:c r="D7" s="32" t="n">
        <x:f>COUNTA('人物档案'!$A$5:$A$120)</x:f>
        <x:v>116</x:v>
      </x:c>
      <x:c r="E7" s="33"/>
      <x:c r="G7" s="32" t="n">
        <x:f>COUNTA('十二帝画像'!$A$5:$A$58)</x:f>
        <x:v>54</x:v>
      </x:c>
      <x:c r="H7" s="33"/>
      <x:c r="J7" s="32" t="n">
        <x:f>COUNTA('帝王史料索引'!$A$5:$A$59)</x:f>
        <x:v>55</x:v>
      </x:c>
      <x:c r="K7" s="33"/>
    </x:row>
    <x:row r="8">
      <x:c r="A8" s="34"/>
      <x:c r="B8" s="35"/>
      <x:c r="D8" s="34"/>
      <x:c r="E8" s="35"/>
      <x:c r="G8" s="34"/>
      <x:c r="H8" s="35"/>
      <x:c r="J8" s="34"/>
      <x:c r="K8" s="35"/>
    </x:row>
    <x:row r="9">
      <x:c r="A9" s="16" t="str">
        <x:v>来源单元</x:v>
      </x:c>
      <x:c r="B9" s="17" t="str">
        <x:v>来源单元</x:v>
      </x:c>
      <x:c r="D9" s="16" t="str">
        <x:v>原子主张</x:v>
      </x:c>
      <x:c r="E9" s="17" t="str">
        <x:v>原子主张</x:v>
      </x:c>
      <x:c r="G9" s="16" t="str">
        <x:v>正式采纳</x:v>
      </x:c>
      <x:c r="H9" s="17" t="str">
        <x:v>正式采纳</x:v>
      </x:c>
      <x:c r="J9" s="16" t="str">
        <x:v>具名复核</x:v>
      </x:c>
      <x:c r="K9" s="17" t="str">
        <x:v>具名复核</x:v>
      </x:c>
    </x:row>
    <x:row r="10">
      <x:c r="A10" s="32" t="n">
        <x:f>COUNTA('帝王来源单元'!$A$5:$A$49)</x:f>
        <x:v>45</x:v>
      </x:c>
      <x:c r="B10" s="33"/>
      <x:c r="D10" s="32" t="n">
        <x:f>COUNTA('主张工作台'!$A$5:$A$189)</x:f>
        <x:v>185</x:v>
      </x:c>
      <x:c r="E10" s="33"/>
      <x:c r="G10" s="32" t="n">
        <x:f>COUNTIF('主张工作台'!$J$5:$J$189,"已采纳")</x:f>
        <x:v>2</x:v>
      </x:c>
      <x:c r="H10" s="33"/>
      <x:c r="J10" s="32" t="n">
        <x:f>5</x:f>
        <x:v>5</x:v>
      </x:c>
      <x:c r="K10" s="33"/>
    </x:row>
    <x:row r="11">
      <x:c r="A11" s="34"/>
      <x:c r="B11" s="35"/>
      <x:c r="D11" s="34"/>
      <x:c r="E11" s="35"/>
      <x:c r="G11" s="34"/>
      <x:c r="H11" s="35"/>
      <x:c r="J11" s="34"/>
      <x:c r="K11" s="35"/>
    </x:row>
    <x:row r="12">
      <x:c r="A12" s="42" t="str">
        <x:v>任务已完成</x:v>
      </x:c>
      <x:c r="B12" s="43" t="str">
        <x:v>任务已完成</x:v>
      </x:c>
      <x:c r="D12" s="42" t="str">
        <x:v>A2来源单元</x:v>
      </x:c>
      <x:c r="E12" s="43" t="str">
        <x:v>A2来源单元</x:v>
      </x:c>
      <x:c r="G12" s="42" t="str">
        <x:v>受控词条</x:v>
      </x:c>
      <x:c r="H12" s="43" t="str">
        <x:v>受控词条</x:v>
      </x:c>
      <x:c r="J12" s="42" t="str">
        <x:v>现金预算（元）</x:v>
      </x:c>
      <x:c r="K12" s="43" t="str">
        <x:v>现金预算（元）</x:v>
      </x:c>
    </x:row>
    <x:row r="13">
      <x:c r="A13" s="57" t="n">
        <x:f>COUNTIF('持续任务队列'!$H$5:$H$31,"已完成")</x:f>
        <x:v>7</x:v>
      </x:c>
      <x:c r="B13" s="58"/>
      <x:c r="D13" s="57" t="n">
        <x:f>COUNTIF('帝王来源单元'!$J$5:$J$49,"A2")</x:f>
        <x:v>18</x:v>
      </x:c>
      <x:c r="E13" s="58"/>
      <x:c r="G13" s="57" t="n">
        <x:f>COUNTA('受控词表'!$A$5:$A$227)</x:f>
        <x:v>223</x:v>
      </x:c>
      <x:c r="H13" s="58"/>
      <x:c r="J13" s="57" t="n">
        <x:f>0</x:f>
        <x:v>0</x:v>
      </x:c>
      <x:c r="K13" s="58"/>
    </x:row>
    <x:row r="14">
      <x:c r="A14" s="59"/>
      <x:c r="B14" s="60"/>
      <x:c r="D14" s="59"/>
      <x:c r="E14" s="60"/>
      <x:c r="G14" s="59"/>
      <x:c r="H14" s="60"/>
      <x:c r="J14" s="59"/>
      <x:c r="K14" s="60"/>
    </x:row>
    <x:row r="16">
      <x:c r="A16" s="62" t="str">
        <x:v>质量门与操作入口</x:v>
      </x:c>
    </x:row>
    <x:row r="17" ht="28" customHeight="1">
      <x:c r="A17" s="68" t="str">
        <x:v>门槛</x:v>
      </x:c>
      <x:c r="B17" s="69" t="str">
        <x:v>当前判定</x:v>
      </x:c>
      <x:c r="C17" s="69" t="str">
        <x:v>操作入口</x:v>
      </x:c>
      <x:c r="D17" s="69" t="str">
        <x:v>检查重点</x:v>
      </x:c>
      <x:c r="E17" s="69"/>
      <x:c r="F17" s="69"/>
      <x:c r="G17" s="69" t="str">
        <x:v>门槛</x:v>
      </x:c>
      <x:c r="H17" s="69" t="str">
        <x:v>当前判定</x:v>
      </x:c>
      <x:c r="I17" s="69" t="str">
        <x:v>操作入口</x:v>
      </x:c>
      <x:c r="J17" s="69" t="str">
        <x:v>检查重点</x:v>
      </x:c>
      <x:c r="K17" s="69"/>
      <x:c r="L17" s="70"/>
    </x:row>
    <x:row r="18" ht="28" customHeight="1">
      <x:c r="A18" s="71" t="str">
        <x:v>十二帝骨架</x:v>
      </x:c>
      <x:c r="B18" s="76" t="n">
        <x:f>COUNTA('十二帝总档'!$A$5:$A$16)</x:f>
        <x:v>12</x:v>
      </x:c>
      <x:c r="C18" s="67" t="str">
        <x:v>十二帝总档</x:v>
      </x:c>
      <x:c r="D18" s="67" t="str">
        <x:v>目标12；日期、称号和继承口径需继续核查</x:v>
      </x:c>
      <x:c r="E18" s="67"/>
      <x:c r="F18" s="67"/>
      <x:c r="G18" s="67" t="str">
        <x:v>画像记录</x:v>
      </x:c>
      <x:c r="H18" s="76" t="n">
        <x:f>COUNTA('十二帝画像'!$A$5:$A$58)</x:f>
        <x:v>54</x:v>
      </x:c>
      <x:c r="I18" s="67" t="str">
        <x:v>十二帝画像</x:v>
      </x:c>
      <x:c r="J18" s="67" t="str">
        <x:v>人物认定、馆藏号与逐文件许可分列</x:v>
      </x:c>
      <x:c r="K18" s="67"/>
      <x:c r="L18" s="72"/>
    </x:row>
    <x:row r="19" ht="28" customHeight="1">
      <x:c r="A19" s="71" t="str">
        <x:v>来源单元</x:v>
      </x:c>
      <x:c r="B19" s="76" t="n">
        <x:f>COUNTA('帝王来源单元'!$A$5:$A$49)</x:f>
        <x:v>45</x:v>
      </x:c>
      <x:c r="C19" s="67" t="str">
        <x:v>帝王来源单元</x:v>
      </x:c>
      <x:c r="D19" s="67" t="str">
        <x:v>由 data-manifest 自动发现全部帝王来源包</x:v>
      </x:c>
      <x:c r="E19" s="67"/>
      <x:c r="F19" s="67"/>
      <x:c r="G19" s="67" t="str">
        <x:v>原子主张</x:v>
      </x:c>
      <x:c r="H19" s="76" t="n">
        <x:f>COUNTA('主张工作台'!$A$5:$A$189)</x:f>
        <x:v>185</x:v>
      </x:c>
      <x:c r="I19" s="67" t="str">
        <x:v>主张工作台</x:v>
      </x:c>
      <x:c r="J19" s="67" t="str">
        <x:v>23列完整保留，含复核人与复核日期</x:v>
      </x:c>
      <x:c r="K19" s="67"/>
      <x:c r="L19" s="72"/>
    </x:row>
    <x:row r="20" ht="28" customHeight="1">
      <x:c r="A20" s="71" t="str">
        <x:v>人物档案</x:v>
      </x:c>
      <x:c r="B20" s="76" t="n">
        <x:f>COUNTA('人物档案'!$A$5:$A$120)</x:f>
        <x:v>116</x:v>
      </x:c>
      <x:c r="C20" s="67" t="str">
        <x:v>人物档案</x:v>
      </x:c>
      <x:c r="D20" s="67" t="str">
        <x:v>人物仍须逐条取证，条目数不等于已核验</x:v>
      </x:c>
      <x:c r="E20" s="67"/>
      <x:c r="F20" s="67"/>
      <x:c r="G20" s="67" t="str">
        <x:v>正式采纳</x:v>
      </x:c>
      <x:c r="H20" s="76" t="n">
        <x:f>COUNTIF('主张工作台'!$J$5:$J$189,"已采纳")</x:f>
        <x:v>2</x:v>
      </x:c>
      <x:c r="I20" s="67" t="str">
        <x:v>主张工作台</x:v>
      </x:c>
      <x:c r="J20" s="67" t="str">
        <x:v>正式产品只读取达到发布门槛的主张</x:v>
      </x:c>
      <x:c r="K20" s="67"/>
      <x:c r="L20" s="72"/>
    </x:row>
    <x:row r="21" ht="28" customHeight="1">
      <x:c r="A21" s="71" t="str">
        <x:v>数据文件</x:v>
      </x:c>
      <x:c r="B21" s="76" t="n">
        <x:f>COUNTA('数据清单'!$A$5:$A$38)</x:f>
        <x:v>34</x:v>
      </x:c>
      <x:c r="C21" s="67" t="str">
        <x:v>数据清单</x:v>
      </x:c>
      <x:c r="D21" s="67" t="str">
        <x:v>实际行数与列数随磁盘CSV重建</x:v>
      </x:c>
      <x:c r="E21" s="67"/>
      <x:c r="F21" s="67"/>
      <x:c r="G21" s="67" t="str">
        <x:v>资料边界</x:v>
      </x:c>
      <x:c r="H21" s="76" t="str">
        <x:v>外链优先</x:v>
      </x:c>
      <x:c r="I21" s="67" t="str">
        <x:v>来源版权台账</x:v>
      </x:c>
      <x:c r="J21" s="67" t="str">
        <x:v>免费可看不等于允许镜像</x:v>
      </x:c>
      <x:c r="K21" s="67"/>
      <x:c r="L21" s="72"/>
    </x:row>
    <x:row r="22" ht="28" customHeight="1">
      <x:c r="A22" s="73" t="str">
        <x:v>现金预算</x:v>
      </x:c>
      <x:c r="B22" s="77" t="str">
        <x:v>0 元</x:v>
      </x:c>
      <x:c r="C22" s="74" t="str">
        <x:v>项目章程</x:v>
      </x:c>
      <x:c r="D22" s="74" t="str">
        <x:v>不买数据库、图片、服务器或商业API</x:v>
      </x:c>
      <x:c r="E22" s="74"/>
      <x:c r="F22" s="74"/>
      <x:c r="G22" s="74" t="str">
        <x:v>产品形态</x:v>
      </x:c>
      <x:c r="H22" s="77" t="str">
        <x:v>个人研究库</x:v>
      </x:c>
      <x:c r="I22" s="74" t="str">
        <x:v>信息架构</x:v>
      </x:c>
      <x:c r="J22" s="74" t="str">
        <x:v>不是权威专家审定库；错误可修订</x:v>
      </x:c>
      <x:c r="K22" s="74"/>
      <x:c r="L22" s="75"/>
    </x:row>
    <x:row r="23">
      <x:c r="A23" s="80" t="str">
        <x:v>本工作簿是执行台账，不是史料本身；来源回查、权利许可和不确定性状态见各数据表与 docs。</x:v>
      </x:c>
    </x:row>
  </x:sheetData>
  <x:mergeCells>
    <x:mergeCell ref="A1:L1"/>
    <x:mergeCell ref="A2:L2"/>
    <x:mergeCell ref="A4:L4"/>
    <x:mergeCell ref="A6:B6"/>
    <x:mergeCell ref="A7:B8"/>
    <x:mergeCell ref="D6:E6"/>
    <x:mergeCell ref="D7:E8"/>
    <x:mergeCell ref="G6:H6"/>
    <x:mergeCell ref="G7:H8"/>
    <x:mergeCell ref="J6:K6"/>
    <x:mergeCell ref="J7:K8"/>
    <x:mergeCell ref="A9:B9"/>
    <x:mergeCell ref="A10:B11"/>
    <x:mergeCell ref="D9:E9"/>
    <x:mergeCell ref="D10:E11"/>
    <x:mergeCell ref="G9:H9"/>
    <x:mergeCell ref="G10:H11"/>
    <x:mergeCell ref="J9:K9"/>
    <x:mergeCell ref="J10:K11"/>
    <x:mergeCell ref="A12:B12"/>
    <x:mergeCell ref="A13:B14"/>
    <x:mergeCell ref="D12:E12"/>
    <x:mergeCell ref="D13:E14"/>
    <x:mergeCell ref="G12:H12"/>
    <x:mergeCell ref="G13:H14"/>
    <x:mergeCell ref="J12:K12"/>
    <x:mergeCell ref="J13:K14"/>
    <x:mergeCell ref="A16:L16"/>
    <x:mergeCell ref="A23:L2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34" hidden="0" customWidth="1"/>
    <x:col min="2" max="2" width="12" hidden="0" customWidth="1"/>
    <x:col min="3" max="3" width="14" hidden="0" customWidth="1"/>
    <x:col min="4" max="4" width="22" hidden="0" customWidth="1"/>
    <x:col min="5" max="5" width="56" hidden="0" customWidth="1"/>
    <x:col min="6" max="6" width="30" hidden="0" customWidth="1"/>
    <x:col min="7" max="7" width="12" hidden="0" customWidth="1"/>
    <x:col min="8" max="8" width="12" hidden="0" customWidth="1"/>
    <x:col min="9" max="9" width="12" hidden="0" customWidth="1"/>
  </x:cols>
  <x:sheetData>
    <x:row r="1" ht="34" customHeight="1">
      <x:c r="A1" s="3" t="str">
        <x:v>数据清单与实际规模</x:v>
      </x:c>
    </x:row>
    <x:row r="2" ht="24" customHeight="1">
      <x:c r="A2" s="6" t="str">
        <x:v>构建器从本表识别各帝 source_units/source_claims 文件；末两列为重建时读取到的实际规模，不使用旧阈值冒充当前数量。 </x:v>
      </x:c>
    </x:row>
    <x:row r="4" ht="32" customHeight="1">
      <x:c r="A4" s="92" t="str">
        <x:v>file</x:v>
      </x:c>
      <x:c r="B4" s="93" t="str">
        <x:v>dynasty</x:v>
      </x:c>
      <x:c r="C4" s="93" t="str">
        <x:v>reign</x:v>
      </x:c>
      <x:c r="D4" s="93" t="str">
        <x:v>kind</x:v>
      </x:c>
      <x:c r="E4" s="93" t="str">
        <x:v>required</x:v>
      </x:c>
      <x:c r="F4" s="93" t="str">
        <x:v>unique</x:v>
      </x:c>
      <x:c r="G4" s="93" t="str">
        <x:v>min_count</x:v>
      </x:c>
      <x:c r="H4" s="93" t="str">
        <x:v>当前行数</x:v>
      </x:c>
      <x:c r="I4" s="94" t="str">
        <x:v>当前列数</x:v>
      </x:c>
    </x:row>
    <x:row r="5" ht="30" customHeight="1">
      <x:c r="A5" s="99" t="str">
        <x:v>qing-emperors.csv</x:v>
      </x:c>
      <x:c r="B5" s="99" t="str">
        <x:v>qing</x:v>
      </x:c>
      <x:c r="C5" s="99" t="str"/>
      <x:c r="D5" s="99" t="str">
        <x:v>emperors</x:v>
      </x:c>
      <x:c r="E5" s="99" t="str">
        <x:v>emperor_id;规范名;年号或通称;庙号;生年;卒年;在位起;在位止;在位年数;清史稿本纪;故宫人物页;皇子序;谥号</x:v>
      </x:c>
      <x:c r="F5" s="99" t="str">
        <x:v>emperor_id</x:v>
      </x:c>
      <x:c r="G5" s="99" t="str">
        <x:v>12</x:v>
      </x:c>
      <x:c r="H5" s="99" t="n">
        <x:v>12</x:v>
      </x:c>
      <x:c r="I5" s="99" t="n">
        <x:v>23</x:v>
      </x:c>
    </x:row>
    <x:row r="6" ht="30" customHeight="1">
      <x:c r="A6" s="100" t="str">
        <x:v>qing-emperor-research-cards.csv</x:v>
      </x:c>
      <x:c r="B6" s="100" t="str">
        <x:v>qing</x:v>
      </x:c>
      <x:c r="C6" s="100" t="str"/>
      <x:c r="D6" s="100" t="str">
        <x:v>research_cards</x:v>
      </x:c>
      <x:c r="E6" s="100" t="str">
        <x:v>person_id;legacy_emperor_id;姓名;故宫人物页</x:v>
      </x:c>
      <x:c r="F6" s="100" t="str">
        <x:v>person_id</x:v>
      </x:c>
      <x:c r="G6" s="100" t="str">
        <x:v>12</x:v>
      </x:c>
      <x:c r="H6" s="100" t="n">
        <x:v>12</x:v>
      </x:c>
      <x:c r="I6" s="100" t="n">
        <x:v>18</x:v>
      </x:c>
    </x:row>
    <x:row r="7" ht="30" customHeight="1">
      <x:c r="A7" s="100" t="str">
        <x:v>emperor-portraits.csv</x:v>
      </x:c>
      <x:c r="B7" s="100" t="str">
        <x:v>qing</x:v>
      </x:c>
      <x:c r="C7" s="100" t="str"/>
      <x:c r="D7" s="100" t="str">
        <x:v>portraits</x:v>
      </x:c>
      <x:c r="E7" s="100" t="str">
        <x:v>visual_id;emperor_id;对象标题;文件页;权利颜色;可公开展示;展示角色;关键标注;画面解析</x:v>
      </x:c>
      <x:c r="F7" s="100" t="str">
        <x:v>visual_id</x:v>
      </x:c>
      <x:c r="G7" s="100" t="str"/>
      <x:c r="H7" s="100" t="n">
        <x:v>54</x:v>
      </x:c>
      <x:c r="I7" s="100" t="n">
        <x:v>23</x:v>
      </x:c>
    </x:row>
    <x:row r="8" ht="30" customHeight="1">
      <x:c r="A8" s="100" t="str">
        <x:v>image-regions.csv</x:v>
      </x:c>
      <x:c r="B8" s="100" t="str">
        <x:v>qing</x:v>
      </x:c>
      <x:c r="C8" s="100" t="str"/>
      <x:c r="D8" s="100" t="str">
        <x:v>image_regions</x:v>
      </x:c>
      <x:c r="E8" s="100" t="str">
        <x:v>region_id;visual_id;region_label;x;y;w;h;assertion_id;evidence_stance</x:v>
      </x:c>
      <x:c r="F8" s="100" t="str">
        <x:v>region_id</x:v>
      </x:c>
      <x:c r="G8" s="100" t="str"/>
      <x:c r="H8" s="100" t="n">
        <x:v>15</x:v>
      </x:c>
      <x:c r="I8" s="100" t="n">
        <x:v>10</x:v>
      </x:c>
    </x:row>
    <x:row r="9" ht="30" customHeight="1">
      <x:c r="A9" s="100" t="str">
        <x:v>iiif-manifests.csv</x:v>
      </x:c>
      <x:c r="B9" s="100" t="str">
        <x:v>qing</x:v>
      </x:c>
      <x:c r="C9" s="100" t="str"/>
      <x:c r="D9" s="100" t="str">
        <x:v>iiif_manifests</x:v>
      </x:c>
      <x:c r="E9" s="100" t="str">
        <x:v>visual_id;iiif_manifest</x:v>
      </x:c>
      <x:c r="F9" s="100" t="str">
        <x:v>visual_id</x:v>
      </x:c>
      <x:c r="G9" s="100" t="str"/>
      <x:c r="H9" s="100" t="n">
        <x:v>1</x:v>
      </x:c>
      <x:c r="I9" s="100" t="n">
        <x:v>2</x:v>
      </x:c>
    </x:row>
    <x:row r="10" ht="30" customHeight="1">
      <x:c r="A10" s="100" t="str">
        <x:v>entity-id-crosswalk.csv</x:v>
      </x:c>
      <x:c r="B10" s="100" t="str">
        <x:v>qing</x:v>
      </x:c>
      <x:c r="C10" s="100" t="str"/>
      <x:c r="D10" s="100" t="str">
        <x:v>crosswalk</x:v>
      </x:c>
      <x:c r="E10" s="100" t="str">
        <x:v>person_id;legacy_emperor_id;canonical_name;status</x:v>
      </x:c>
      <x:c r="F10" s="100" t="str">
        <x:v>legacy_emperor_id;person_id</x:v>
      </x:c>
      <x:c r="G10" s="100" t="str">
        <x:v>12</x:v>
      </x:c>
      <x:c r="H10" s="100" t="n">
        <x:v>12</x:v>
      </x:c>
      <x:c r="I10" s="100" t="n">
        <x:v>6</x:v>
      </x:c>
    </x:row>
    <x:row r="11" ht="30" customHeight="1">
      <x:c r="A11" s="100" t="str">
        <x:v>phase0-people.csv</x:v>
      </x:c>
      <x:c r="B11" s="100" t="str">
        <x:v>qing</x:v>
      </x:c>
      <x:c r="C11" s="100" t="str"/>
      <x:c r="D11" s="100" t="str">
        <x:v>people</x:v>
      </x:c>
      <x:c r="E11" s="100" t="str">
        <x:v>person_id;分组;规范名;人物类型</x:v>
      </x:c>
      <x:c r="F11" s="100" t="str">
        <x:v>person_id</x:v>
      </x:c>
      <x:c r="G11" s="100" t="str">
        <x:v>116</x:v>
      </x:c>
      <x:c r="H11" s="100" t="n">
        <x:v>116</x:v>
      </x:c>
      <x:c r="I11" s="100" t="n">
        <x:v>13</x:v>
      </x:c>
    </x:row>
    <x:row r="12" ht="30" customHeight="1">
      <x:c r="A12" s="100" t="str">
        <x:v>source-rights-ledger.csv</x:v>
      </x:c>
      <x:c r="B12" s="100" t="str">
        <x:v>qing</x:v>
      </x:c>
      <x:c r="C12" s="100" t="str"/>
      <x:c r="D12" s="100" t="str">
        <x:v>sources</x:v>
      </x:c>
      <x:c r="E12" s="100" t="str">
        <x:v>source_id;机构或资源;证据等级;权利颜色;资源网址</x:v>
      </x:c>
      <x:c r="F12" s="100" t="str">
        <x:v>source_id</x:v>
      </x:c>
      <x:c r="G12" s="100" t="str">
        <x:v>27</x:v>
      </x:c>
      <x:c r="H12" s="100" t="n">
        <x:v>27</x:v>
      </x:c>
      <x:c r="I12" s="100" t="n">
        <x:v>19</x:v>
      </x:c>
    </x:row>
    <x:row r="13" ht="30" customHeight="1">
      <x:c r="A13" s="100" t="str">
        <x:v>qing-emperor-source-index.csv</x:v>
      </x:c>
      <x:c r="B13" s="100" t="str">
        <x:v>qing</x:v>
      </x:c>
      <x:c r="C13" s="100" t="str"/>
      <x:c r="D13" s="100" t="str">
        <x:v>source_index</x:v>
      </x:c>
      <x:c r="E13" s="100" t="str">
        <x:v>index_id;emperor_id;资源名称;访问网址</x:v>
      </x:c>
      <x:c r="F13" s="100" t="str">
        <x:v>index_id</x:v>
      </x:c>
      <x:c r="G13" s="100" t="str"/>
      <x:c r="H13" s="100" t="n">
        <x:v>55</x:v>
      </x:c>
      <x:c r="I13" s="100" t="n">
        <x:v>11</x:v>
      </x:c>
    </x:row>
    <x:row r="14" ht="30" customHeight="1">
      <x:c r="A14" s="100" t="str">
        <x:v>task-queue.csv</x:v>
      </x:c>
      <x:c r="B14" s="100" t="str">
        <x:v>qing</x:v>
      </x:c>
      <x:c r="C14" s="100" t="str"/>
      <x:c r="D14" s="100" t="str">
        <x:v>tasks</x:v>
      </x:c>
      <x:c r="E14" s="100" t="str">
        <x:v>task_id;emperor_id;任务;状态;优先级</x:v>
      </x:c>
      <x:c r="F14" s="100" t="str">
        <x:v>task_id</x:v>
      </x:c>
      <x:c r="G14" s="100" t="str"/>
      <x:c r="H14" s="100" t="n">
        <x:v>27</x:v>
      </x:c>
      <x:c r="I14" s="100" t="n">
        <x:v>13</x:v>
      </x:c>
    </x:row>
    <x:row r="15" ht="30" customHeight="1">
      <x:c r="A15" s="100" t="str">
        <x:v>controlled-vocabularies.csv</x:v>
      </x:c>
      <x:c r="B15" s="100" t="str">
        <x:v>shared</x:v>
      </x:c>
      <x:c r="C15" s="100" t="str"/>
      <x:c r="D15" s="100" t="str">
        <x:v>vocab</x:v>
      </x:c>
      <x:c r="E15" s="100" t="str">
        <x:v>scheme_code;term_code;中文标签</x:v>
      </x:c>
      <x:c r="F15" s="100" t="str"/>
      <x:c r="G15" s="100" t="str">
        <x:v>125</x:v>
      </x:c>
      <x:c r="H15" s="100" t="n">
        <x:v>223</x:v>
      </x:c>
      <x:c r="I15" s="100" t="n">
        <x:v>10</x:v>
      </x:c>
    </x:row>
    <x:row r="16" ht="30" customHeight="1">
      <x:c r="A16" s="100" t="str">
        <x:v>kangxi-source-units.csv</x:v>
      </x:c>
      <x:c r="B16" s="100" t="str">
        <x:v>qing</x:v>
      </x:c>
      <x:c r="C16" s="100" t="str">
        <x:v>kangxi</x:v>
      </x:c>
      <x:c r="D16" s="100" t="str">
        <x:v>source_units</x:v>
      </x:c>
      <x:c r="E16" s="100" t="str">
        <x:v>source_unit_id;source_entity_id;史料名;卷次;证据等级;直接记录网址</x:v>
      </x:c>
      <x:c r="F16" s="100" t="str">
        <x:v>source_unit_id</x:v>
      </x:c>
      <x:c r="G16" s="100" t="str">
        <x:v>18</x:v>
      </x:c>
      <x:c r="H16" s="100" t="n">
        <x:v>22</x:v>
      </x:c>
      <x:c r="I16" s="100" t="n">
        <x:v>13</x:v>
      </x:c>
    </x:row>
    <x:row r="17" ht="30" customHeight="1">
      <x:c r="A17" s="100" t="str">
        <x:v>kangxi-source-claims.csv</x:v>
      </x:c>
      <x:c r="B17" s="100" t="str">
        <x:v>qing</x:v>
      </x:c>
      <x:c r="C17" s="100" t="str">
        <x:v>kangxi</x:v>
      </x:c>
      <x:c r="D17" s="100" t="str">
        <x:v>source_claims</x:v>
      </x:c>
      <x:c r="E17" s="100" t="str">
        <x:v>Assertion ID;主体 ID;谓词/关系;来源实体 ID;支持引文;公历下界;公历上界;状态;复核日期</x:v>
      </x:c>
      <x:c r="F17" s="100" t="str">
        <x:v>Assertion ID</x:v>
      </x:c>
      <x:c r="G17" s="100" t="str">
        <x:v>120</x:v>
      </x:c>
      <x:c r="H17" s="100" t="n">
        <x:v>124</x:v>
      </x:c>
      <x:c r="I17" s="100" t="n">
        <x:v>23</x:v>
      </x:c>
    </x:row>
    <x:row r="18" ht="30" customHeight="1">
      <x:c r="A18" s="100" t="str">
        <x:v>yongzheng-source-units.csv</x:v>
      </x:c>
      <x:c r="B18" s="100" t="str">
        <x:v>qing</x:v>
      </x:c>
      <x:c r="C18" s="100" t="str">
        <x:v>yongzheng</x:v>
      </x:c>
      <x:c r="D18" s="100" t="str">
        <x:v>source_units</x:v>
      </x:c>
      <x:c r="E18" s="100" t="str">
        <x:v>source_unit_id;source_entity_id;史料名;卷次;证据等级;直接记录网址</x:v>
      </x:c>
      <x:c r="F18" s="100" t="str">
        <x:v>source_unit_id</x:v>
      </x:c>
      <x:c r="G18" s="100" t="str">
        <x:v>13</x:v>
      </x:c>
      <x:c r="H18" s="100" t="n">
        <x:v>17</x:v>
      </x:c>
      <x:c r="I18" s="100" t="n">
        <x:v>13</x:v>
      </x:c>
    </x:row>
    <x:row r="19" ht="30" customHeight="1">
      <x:c r="A19" s="100" t="str">
        <x:v>yongzheng-source-claims.csv</x:v>
      </x:c>
      <x:c r="B19" s="100" t="str">
        <x:v>qing</x:v>
      </x:c>
      <x:c r="C19" s="100" t="str">
        <x:v>yongzheng</x:v>
      </x:c>
      <x:c r="D19" s="100" t="str">
        <x:v>source_claims</x:v>
      </x:c>
      <x:c r="E19" s="100" t="str">
        <x:v>Assertion ID;主体 ID;谓词/关系;来源实体 ID;支持引文;公历下界;公历上界;状态;复核日期</x:v>
      </x:c>
      <x:c r="F19" s="100" t="str">
        <x:v>Assertion ID</x:v>
      </x:c>
      <x:c r="G19" s="100" t="str">
        <x:v>38</x:v>
      </x:c>
      <x:c r="H19" s="100" t="n">
        <x:v>42</x:v>
      </x:c>
      <x:c r="I19" s="100" t="n">
        <x:v>23</x:v>
      </x:c>
    </x:row>
    <x:row r="20" ht="30" customHeight="1">
      <x:c r="A20" s="100" t="str">
        <x:v>golden-questions.csv</x:v>
      </x:c>
      <x:c r="B20" s="100" t="str">
        <x:v>qing</x:v>
      </x:c>
      <x:c r="C20" s="100" t="str"/>
      <x:c r="D20" s="100" t="str">
        <x:v>questions</x:v>
      </x:c>
      <x:c r="E20" s="100" t="str">
        <x:v>question_id;类别;问题;期望行为;路由</x:v>
      </x:c>
      <x:c r="F20" s="100" t="str">
        <x:v>question_id</x:v>
      </x:c>
      <x:c r="G20" s="100" t="str">
        <x:v>64</x:v>
      </x:c>
      <x:c r="H20" s="100" t="n">
        <x:v>69</x:v>
      </x:c>
      <x:c r="I20" s="100" t="n">
        <x:v>9</x:v>
      </x:c>
    </x:row>
    <x:row r="21" ht="30" customHeight="1">
      <x:c r="A21" s="100" t="str">
        <x:v>chapters.csv</x:v>
      </x:c>
      <x:c r="B21" s="100" t="str">
        <x:v>qing</x:v>
      </x:c>
      <x:c r="C21" s="100" t="str"/>
      <x:c r="D21" s="100" t="str">
        <x:v>chapters</x:v>
      </x:c>
      <x:c r="E21" s="100" t="str">
        <x:v>chapter_id;slug;person_id;era;title;file;lede</x:v>
      </x:c>
      <x:c r="F21" s="100" t="str">
        <x:v>chapter_id;slug</x:v>
      </x:c>
      <x:c r="G21" s="100" t="str">
        <x:v>31</x:v>
      </x:c>
      <x:c r="H21" s="100" t="n">
        <x:v>52</x:v>
      </x:c>
      <x:c r="I21" s="100" t="n">
        <x:v>10</x:v>
      </x:c>
    </x:row>
    <x:row r="22" ht="30" customHeight="1">
      <x:c r="A22" s="100" t="str">
        <x:v>side-lanes.csv</x:v>
      </x:c>
      <x:c r="B22" s="100" t="str">
        <x:v>qing</x:v>
      </x:c>
      <x:c r="C22" s="100" t="str"/>
      <x:c r="D22" s="100" t="str">
        <x:v>lanes</x:v>
      </x:c>
      <x:c r="E22" s="100" t="str">
        <x:v>lane_id;栏目;标题;通行说法;官书或档案怎么写;差异或读法;证据状态;权利颜色;使用说明</x:v>
      </x:c>
      <x:c r="F22" s="100" t="str">
        <x:v>lane_id</x:v>
      </x:c>
      <x:c r="G22" s="100" t="str"/>
      <x:c r="H22" s="100" t="n">
        <x:v>29</x:v>
      </x:c>
      <x:c r="I22" s="100" t="n">
        <x:v>17</x:v>
      </x:c>
    </x:row>
    <x:row r="23" ht="30" customHeight="1">
      <x:c r="A23" s="100" t="str">
        <x:v>kangxi-empress-timeline.csv</x:v>
      </x:c>
      <x:c r="B23" s="100" t="str">
        <x:v>qing</x:v>
      </x:c>
      <x:c r="C23" s="100" t="str">
        <x:v>kangxi</x:v>
      </x:c>
      <x:c r="D23" s="100" t="str">
        <x:v>empress_timeline</x:v>
      </x:c>
      <x:c r="E23" s="100" t="str">
        <x:v>event_id;person_id;当时称号;事件类型;来源单元;引文;回查状态</x:v>
      </x:c>
      <x:c r="F23" s="100" t="str">
        <x:v>event_id</x:v>
      </x:c>
      <x:c r="G23" s="100" t="str">
        <x:v>19</x:v>
      </x:c>
      <x:c r="H23" s="100" t="n">
        <x:v>19</x:v>
      </x:c>
      <x:c r="I23" s="100" t="n">
        <x:v>14</x:v>
      </x:c>
    </x:row>
    <x:row r="24" ht="30" customHeight="1">
      <x:c r="A24" s="100" t="str">
        <x:v>kangxi-princes.csv</x:v>
      </x:c>
      <x:c r="B24" s="100" t="str">
        <x:v>qing</x:v>
      </x:c>
      <x:c r="C24" s="100" t="str">
        <x:v>kangxi</x:v>
      </x:c>
      <x:c r="D24" s="100" t="str">
        <x:v>princes</x:v>
      </x:c>
      <x:c r="E24" s="100" t="str">
        <x:v>person_id;表序;收录状态;规范名;父亲ID</x:v>
      </x:c>
      <x:c r="F24" s="100" t="str">
        <x:v>person_id</x:v>
      </x:c>
      <x:c r="G24" s="100" t="str">
        <x:v>35</x:v>
      </x:c>
      <x:c r="H24" s="100" t="n">
        <x:v>35</x:v>
      </x:c>
      <x:c r="I24" s="100" t="n">
        <x:v>17</x:v>
      </x:c>
    </x:row>
    <x:row r="25" ht="30" customHeight="1">
      <x:c r="A25" s="100" t="str">
        <x:v>kangxi-princesses.csv</x:v>
      </x:c>
      <x:c r="B25" s="100" t="str">
        <x:v>qing</x:v>
      </x:c>
      <x:c r="C25" s="100" t="str">
        <x:v>kangxi</x:v>
      </x:c>
      <x:c r="D25" s="100" t="str">
        <x:v>princesses</x:v>
      </x:c>
      <x:c r="E25" s="100" t="str">
        <x:v>person_id;表序;规范名;收录状态</x:v>
      </x:c>
      <x:c r="F25" s="100" t="str">
        <x:v>person_id</x:v>
      </x:c>
      <x:c r="G25" s="100" t="str">
        <x:v>21</x:v>
      </x:c>
      <x:c r="H25" s="100" t="n">
        <x:v>21</x:v>
      </x:c>
      <x:c r="I25" s="100" t="n">
        <x:v>19</x:v>
      </x:c>
    </x:row>
    <x:row r="26" ht="30" customHeight="1">
      <x:c r="A26" s="100" t="str">
        <x:v>kangxi-heir-chain.csv</x:v>
      </x:c>
      <x:c r="B26" s="100" t="str">
        <x:v>qing</x:v>
      </x:c>
      <x:c r="C26" s="100" t="str">
        <x:v>kangxi</x:v>
      </x:c>
      <x:c r="D26" s="100" t="str">
        <x:v>heir_chain</x:v>
      </x:c>
      <x:c r="E26" s="100" t="str">
        <x:v>event_id;person_id;阶段;事件类型;来源单元;引文;回查状态</x:v>
      </x:c>
      <x:c r="F26" s="100" t="str">
        <x:v>event_id</x:v>
      </x:c>
      <x:c r="G26" s="100" t="str">
        <x:v>18</x:v>
      </x:c>
      <x:c r="H26" s="100" t="n">
        <x:v>22</x:v>
      </x:c>
      <x:c r="I26" s="100" t="n">
        <x:v>16</x:v>
      </x:c>
    </x:row>
    <x:row r="27" ht="30" customHeight="1">
      <x:c r="A27" s="100" t="str">
        <x:v>historic-sites.csv</x:v>
      </x:c>
      <x:c r="B27" s="100" t="str">
        <x:v>qing</x:v>
      </x:c>
      <x:c r="C27" s="100" t="str"/>
      <x:c r="D27" s="100" t="str">
        <x:v>sites</x:v>
      </x:c>
      <x:c r="E27" s="100" t="str">
        <x:v>site_id;事件;当时;今日;今地说明;边界;卡片钩子;证据状态;权利颜色;文件页</x:v>
      </x:c>
      <x:c r="F27" s="100" t="str">
        <x:v>site_id</x:v>
      </x:c>
      <x:c r="G27" s="100" t="str"/>
      <x:c r="H27" s="100" t="n">
        <x:v>30</x:v>
      </x:c>
      <x:c r="I27" s="100" t="n">
        <x:v>19</x:v>
      </x:c>
    </x:row>
    <x:row r="28" ht="30" customHeight="1">
      <x:c r="A28" s="100" t="str">
        <x:v>imperial-works.csv</x:v>
      </x:c>
      <x:c r="B28" s="100" t="str">
        <x:v>qing</x:v>
      </x:c>
      <x:c r="C28" s="100" t="str"/>
      <x:c r="D28" s="100" t="str">
        <x:v>works</x:v>
      </x:c>
      <x:c r="E28" s="100" t="str">
        <x:v>work_id;emperor_id;文献名称;文献类型;成书年代;卷数;证据状态;open_state;source_unit_ids</x:v>
      </x:c>
      <x:c r="F28" s="100" t="str">
        <x:v>work_id</x:v>
      </x:c>
      <x:c r="G28" s="100" t="str">
        <x:v>64</x:v>
      </x:c>
      <x:c r="H28" s="100" t="n">
        <x:v>64</x:v>
      </x:c>
      <x:c r="I28" s="100" t="n">
        <x:v>15</x:v>
      </x:c>
    </x:row>
    <x:row r="29" ht="30" customHeight="1">
      <x:c r="A29" s="100" t="str">
        <x:v>emperor-chronicle.csv</x:v>
      </x:c>
      <x:c r="B29" s="100" t="str">
        <x:v>qing</x:v>
      </x:c>
      <x:c r="C29" s="100" t="str">
        <x:v>kangxi</x:v>
      </x:c>
      <x:c r="D29" s="100" t="str">
        <x:v>chronicle</x:v>
      </x:c>
      <x:c r="E29" s="100" t="str">
        <x:v>entry_id;emperor_id;层级;事件类型;标题;原纪年;主张IDs;年号级收录;排序键</x:v>
      </x:c>
      <x:c r="F29" s="100" t="str">
        <x:v>entry_id</x:v>
      </x:c>
      <x:c r="G29" s="100" t="str">
        <x:v>16</x:v>
      </x:c>
      <x:c r="H29" s="100" t="n">
        <x:v>16</x:v>
      </x:c>
      <x:c r="I29" s="100" t="n">
        <x:v>18</x:v>
      </x:c>
    </x:row>
    <x:row r="30" ht="30" customHeight="1">
      <x:c r="A30" s="100" t="str">
        <x:v>source-families.csv</x:v>
      </x:c>
      <x:c r="B30" s="100" t="str">
        <x:v>qing</x:v>
      </x:c>
      <x:c r="C30" s="100" t="str"/>
      <x:c r="D30" s="100" t="str">
        <x:v>families</x:v>
      </x:c>
      <x:c r="E30" s="100" t="str">
        <x:v>family_id;名称;derives_from;独立性说明</x:v>
      </x:c>
      <x:c r="F30" s="100" t="str">
        <x:v>family_id</x:v>
      </x:c>
      <x:c r="G30" s="100" t="str"/>
      <x:c r="H30" s="100" t="n">
        <x:v>5</x:v>
      </x:c>
      <x:c r="I30" s="100" t="n">
        <x:v>4</x:v>
      </x:c>
    </x:row>
    <x:row r="31" ht="30" customHeight="1">
      <x:c r="A31" s="100" t="str">
        <x:v>conflict-sets.csv</x:v>
      </x:c>
      <x:c r="B31" s="100" t="str">
        <x:v>qing</x:v>
      </x:c>
      <x:c r="C31" s="100" t="str"/>
      <x:c r="D31" s="100" t="str">
        <x:v>conflict_sets</x:v>
      </x:c>
      <x:c r="E31" s="100" t="str">
        <x:v>conflict_set_id;议题;冲突维度;现行编辑判断;判断依据主张;保留意见</x:v>
      </x:c>
      <x:c r="F31" s="100" t="str">
        <x:v>conflict_set_id</x:v>
      </x:c>
      <x:c r="G31" s="100" t="str"/>
      <x:c r="H31" s="100" t="n">
        <x:v>13</x:v>
      </x:c>
      <x:c r="I31" s="100" t="n">
        <x:v>6</x:v>
      </x:c>
    </x:row>
    <x:row r="32" ht="30" customHeight="1">
      <x:c r="A32" s="100" t="str">
        <x:v>community-corrections.csv</x:v>
      </x:c>
      <x:c r="B32" s="100" t="str">
        <x:v>qing</x:v>
      </x:c>
      <x:c r="C32" s="100" t="str"/>
      <x:c r="D32" s="100" t="str">
        <x:v>community_corrections</x:v>
      </x:c>
      <x:c r="E32" s="100" t="str">
        <x:v>correction_id;位置ID;纠错内容;状态</x:v>
      </x:c>
      <x:c r="F32" s="100" t="str">
        <x:v>correction_id</x:v>
      </x:c>
      <x:c r="G32" s="100" t="str"/>
      <x:c r="H32" s="100" t="n">
        <x:v>0</x:v>
      </x:c>
      <x:c r="I32" s="100" t="n">
        <x:v>10</x:v>
      </x:c>
    </x:row>
    <x:row r="33" ht="30" customHeight="1">
      <x:c r="A33" s="100" t="str">
        <x:v>overviews.csv</x:v>
      </x:c>
      <x:c r="B33" s="100" t="str">
        <x:v>qing</x:v>
      </x:c>
      <x:c r="C33" s="100" t="str"/>
      <x:c r="D33" s="100" t="str">
        <x:v>overview</x:v>
      </x:c>
      <x:c r="E33" s="100" t="str">
        <x:v>overview_id;slug;title;file;lede</x:v>
      </x:c>
      <x:c r="F33" s="100" t="str">
        <x:v>overview_id</x:v>
      </x:c>
      <x:c r="G33" s="100" t="str">
        <x:v>5</x:v>
      </x:c>
      <x:c r="H33" s="100" t="n">
        <x:v>5</x:v>
      </x:c>
      <x:c r="I33" s="100" t="n">
        <x:v>6</x:v>
      </x:c>
    </x:row>
    <x:row r="34" ht="30" customHeight="1">
      <x:c r="A34" s="100" t="str">
        <x:v>emperor-timeline.csv</x:v>
      </x:c>
      <x:c r="B34" s="100" t="str">
        <x:v>qing</x:v>
      </x:c>
      <x:c r="C34" s="100" t="str"/>
      <x:c r="D34" s="100" t="str">
        <x:v>emperor_timeline</x:v>
      </x:c>
      <x:c r="E34" s="100" t="str">
        <x:v>timeline_id;emperor_id;year;reign_year;event;status;source_refs;claim_ids</x:v>
      </x:c>
      <x:c r="F34" s="100" t="str">
        <x:v>timeline_id</x:v>
      </x:c>
      <x:c r="G34" s="100" t="str">
        <x:v>96</x:v>
      </x:c>
      <x:c r="H34" s="100" t="n">
        <x:v>96</x:v>
      </x:c>
      <x:c r="I34" s="100" t="n">
        <x:v>8</x:v>
      </x:c>
    </x:row>
    <x:row r="35" ht="30" customHeight="1">
      <x:c r="A35" s="100" t="str">
        <x:v>qianlong-source-units.csv</x:v>
      </x:c>
      <x:c r="B35" s="100" t="str">
        <x:v>qing</x:v>
      </x:c>
      <x:c r="C35" s="100" t="str">
        <x:v>qianlong</x:v>
      </x:c>
      <x:c r="D35" s="100" t="str">
        <x:v>source_units</x:v>
      </x:c>
      <x:c r="E35" s="100" t="str">
        <x:v>source_unit_id;source_entity_id;史料名;卷次;证据等级;直接记录网址</x:v>
      </x:c>
      <x:c r="F35" s="100" t="str">
        <x:v>source_unit_id</x:v>
      </x:c>
      <x:c r="G35" s="100" t="str">
        <x:v>3</x:v>
      </x:c>
      <x:c r="H35" s="100" t="n">
        <x:v>3</x:v>
      </x:c>
      <x:c r="I35" s="100" t="n">
        <x:v>13</x:v>
      </x:c>
    </x:row>
    <x:row r="36" ht="30" customHeight="1">
      <x:c r="A36" s="100" t="str">
        <x:v>qianlong-source-claims.csv</x:v>
      </x:c>
      <x:c r="B36" s="100" t="str">
        <x:v>qing</x:v>
      </x:c>
      <x:c r="C36" s="100" t="str">
        <x:v>qianlong</x:v>
      </x:c>
      <x:c r="D36" s="100" t="str">
        <x:v>source_claims</x:v>
      </x:c>
      <x:c r="E36" s="100" t="str">
        <x:v>Assertion ID;主体 ID;谓词/关系;来源实体 ID;支持引文;公历下界;公历上界;状态;复核日期</x:v>
      </x:c>
      <x:c r="F36" s="100" t="str">
        <x:v>Assertion ID</x:v>
      </x:c>
      <x:c r="G36" s="100" t="str">
        <x:v>6</x:v>
      </x:c>
      <x:c r="H36" s="100" t="n">
        <x:v>6</x:v>
      </x:c>
      <x:c r="I36" s="100" t="n">
        <x:v>23</x:v>
      </x:c>
    </x:row>
    <x:row r="37" ht="30" customHeight="1">
      <x:c r="A37" s="100" t="str">
        <x:v>jiaqing-source-units.csv</x:v>
      </x:c>
      <x:c r="B37" s="100" t="str">
        <x:v>qing</x:v>
      </x:c>
      <x:c r="C37" s="100" t="str">
        <x:v>jiaqing</x:v>
      </x:c>
      <x:c r="D37" s="100" t="str">
        <x:v>source_units</x:v>
      </x:c>
      <x:c r="E37" s="100" t="str">
        <x:v>source_unit_id;source_entity_id;史料名;卷次;证据等级;直接记录网址</x:v>
      </x:c>
      <x:c r="F37" s="100" t="str">
        <x:v>source_unit_id</x:v>
      </x:c>
      <x:c r="G37" s="100" t="str">
        <x:v>3</x:v>
      </x:c>
      <x:c r="H37" s="100" t="n">
        <x:v>3</x:v>
      </x:c>
      <x:c r="I37" s="100" t="n">
        <x:v>13</x:v>
      </x:c>
    </x:row>
    <x:row r="38" ht="30" customHeight="1">
      <x:c r="A38" s="100" t="str">
        <x:v>jiaqing-source-claims.csv</x:v>
      </x:c>
      <x:c r="B38" s="100" t="str">
        <x:v>qing</x:v>
      </x:c>
      <x:c r="C38" s="100" t="str">
        <x:v>jiaqing</x:v>
      </x:c>
      <x:c r="D38" s="100" t="str">
        <x:v>source_claims</x:v>
      </x:c>
      <x:c r="E38" s="100" t="str">
        <x:v>Assertion ID;主体 ID;谓词/关系;来源实体 ID;支持引文;公历下界;公历上界;状态;复核日期</x:v>
      </x:c>
      <x:c r="F38" s="100" t="str">
        <x:v>Assertion ID</x:v>
      </x:c>
      <x:c r="G38" s="100" t="str">
        <x:v>13</x:v>
      </x:c>
      <x:c r="H38" s="100" t="n">
        <x:v>13</x:v>
      </x:c>
      <x:c r="I38" s="100" t="n">
        <x:v>23</x:v>
      </x:c>
    </x:row>
  </x:sheetData>
  <x:mergeCells>
    <x:mergeCell ref="A1:I1"/>
    <x:mergeCell ref="A2:I2"/>
  </x:mergeCells>
  <x:pageMargins left="0.7" right="0.7" top="0.75" bottom="0.75" header="0.3" footer="0.3"/>
  <x:tableParts count="1">
    <x:tablePart xmlns:r="http://schemas.openxmlformats.org/officeDocument/2006/relationships" r:id="R91bd3db3616347b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7" hidden="0" customWidth="1"/>
    <x:col min="3" max="3" width="24" hidden="0" customWidth="1"/>
    <x:col min="4" max="4" width="18" hidden="0" customWidth="1"/>
    <x:col min="5" max="5" width="10" hidden="0" customWidth="1"/>
    <x:col min="6" max="6" width="9" hidden="0" customWidth="1"/>
    <x:col min="7" max="7" width="9" hidden="0" customWidth="1"/>
    <x:col min="8" max="8" width="10" hidden="0" customWidth="1"/>
    <x:col min="9" max="9" width="10" hidden="0" customWidth="1"/>
    <x:col min="10" max="10" width="12" hidden="0" customWidth="1"/>
    <x:col min="11" max="11" width="28" hidden="0" customWidth="1"/>
    <x:col min="12" max="12" width="28" hidden="0" customWidth="1"/>
    <x:col min="13" max="13" width="24" hidden="0" customWidth="1"/>
    <x:col min="14" max="14" width="24" hidden="0" customWidth="1"/>
    <x:col min="15" max="15" width="20" hidden="0" customWidth="1"/>
    <x:col min="16" max="16" width="32" hidden="0" customWidth="1"/>
    <x:col min="17" max="17" width="40" hidden="0" customWidth="1"/>
    <x:col min="18" max="18" width="52" hidden="0" customWidth="1"/>
    <x:col min="19" max="19" width="16" hidden="0" customWidth="1"/>
    <x:col min="20" max="20" width="48" hidden="0" customWidth="1"/>
    <x:col min="21" max="21" width="10" hidden="0" customWidth="1"/>
    <x:col min="22" max="22" width="24" hidden="0" customWidth="1"/>
    <x:col min="23" max="23" width="56" hidden="0" customWidth="1"/>
  </x:cols>
  <x:sheetData>
    <x:row r="1" ht="34" customHeight="1">
      <x:c r="A1" s="3" t="str">
        <x:v>十二帝总档</x:v>
      </x:c>
    </x:row>
    <x:row r="2" ht="24" customHeight="1">
      <x:c r="A2" s="6" t="str">
        <x:v>努尔哈赤至溥仪统一骨架；在位年份与年号纪年不是同一口径，后续将细化到日期级事件</x:v>
      </x:c>
    </x:row>
    <x:row r="4" ht="32" customHeight="1">
      <x:c r="A4" s="92" t="str">
        <x:v>emperor_id</x:v>
      </x:c>
      <x:c r="B4" s="93" t="str">
        <x:v>顺序</x:v>
      </x:c>
      <x:c r="C4" s="93" t="str">
        <x:v>规范名</x:v>
      </x:c>
      <x:c r="D4" s="93" t="str">
        <x:v>年号或通称</x:v>
      </x:c>
      <x:c r="E4" s="93" t="str">
        <x:v>庙号</x:v>
      </x:c>
      <x:c r="F4" s="93" t="str">
        <x:v>生年</x:v>
      </x:c>
      <x:c r="G4" s="93" t="str">
        <x:v>卒年</x:v>
      </x:c>
      <x:c r="H4" s="93" t="str">
        <x:v>在位起</x:v>
      </x:c>
      <x:c r="I4" s="93" t="str">
        <x:v>在位止</x:v>
      </x:c>
      <x:c r="J4" s="93" t="str">
        <x:v>在位年数</x:v>
      </x:c>
      <x:c r="K4" s="93" t="str">
        <x:v>父亲</x:v>
      </x:c>
      <x:c r="L4" s="93" t="str">
        <x:v>母亲</x:v>
      </x:c>
      <x:c r="M4" s="93" t="str">
        <x:v>前任</x:v>
      </x:c>
      <x:c r="N4" s="93" t="str">
        <x:v>继任</x:v>
      </x:c>
      <x:c r="O4" s="93" t="str">
        <x:v>陵寝</x:v>
      </x:c>
      <x:c r="P4" s="93" t="str">
        <x:v>清史稿本纪</x:v>
      </x:c>
      <x:c r="Q4" s="93" t="str">
        <x:v>清实录入口</x:v>
      </x:c>
      <x:c r="R4" s="93" t="str">
        <x:v>故宫人物页</x:v>
      </x:c>
      <x:c r="S4" s="93" t="str">
        <x:v>页面状态</x:v>
      </x:c>
      <x:c r="T4" s="93" t="str">
        <x:v>备注</x:v>
      </x:c>
      <x:c r="U4" s="93" t="str">
        <x:v>皇子序</x:v>
      </x:c>
      <x:c r="V4" s="93" t="str">
        <x:v>外号</x:v>
      </x:c>
      <x:c r="W4" s="94" t="str">
        <x:v>谥号</x:v>
      </x:c>
    </x:row>
    <x:row r="5" ht="46" customHeight="1">
      <x:c r="A5" s="99" t="str">
        <x:v>QH-E-01</x:v>
      </x:c>
      <x:c r="B5" s="99" t="str">
        <x:v>1</x:v>
      </x:c>
      <x:c r="C5" s="99" t="str">
        <x:v>爱新觉罗·努尔哈赤</x:v>
      </x:c>
      <x:c r="D5" s="99" t="str">
        <x:v>天命</x:v>
      </x:c>
      <x:c r="E5" s="99" t="str">
        <x:v>太祖</x:v>
      </x:c>
      <x:c r="F5" s="99" t="str">
        <x:v>1559</x:v>
      </x:c>
      <x:c r="G5" s="99" t="str">
        <x:v>1626</x:v>
      </x:c>
      <x:c r="H5" s="99" t="str">
        <x:v>1616</x:v>
      </x:c>
      <x:c r="I5" s="99" t="str">
        <x:v>1626</x:v>
      </x:c>
      <x:c r="J5" s="99" t="str">
        <x:v>11</x:v>
      </x:c>
      <x:c r="K5" s="99" t="str">
        <x:v>爱新觉罗·塔克世</x:v>
      </x:c>
      <x:c r="L5" s="99" t="str">
        <x:v>喜塔腊氏</x:v>
      </x:c>
      <x:c r="M5" s="99" t="str"/>
      <x:c r="N5" s="99" t="str">
        <x:v>爱新觉罗·皇太极</x:v>
      </x:c>
      <x:c r="O5" s="99" t="str">
        <x:v>沈阳福陵</x:v>
      </x:c>
      <x:c r="P5" s="99" t="str">
        <x:v>卷1 本纪一 太祖本纪</x:v>
      </x:c>
      <x:c r="Q5" s="99" t="str">
        <x:v>大清太祖高皇帝实录</x:v>
      </x:c>
      <x:c r="R5" s="99" t="str">
        <x:v>https://www.dpm.org.cn/court/lineage/226250.html</x:v>
      </x:c>
      <x:c r="S5" s="99" t="str">
        <x:v>骨架已回查</x:v>
      </x:c>
      <x:c r="T5" s="99" t="str">
        <x:v>1616 建后金，国号后金而非大清；称号需按时态分记汗与帝；出生死亡细日与不同历法表示待建立时间表达</x:v>
      </x:c>
      <x:c r="U5" s="99" t="str">
        <x:v>塔克世长子</x:v>
      </x:c>
      <x:c r="V5" s="99" t="str"/>
      <x:c r="W5" s="99" t="str">
        <x:v>承天广运圣德神功肇纪立极仁孝睿武端毅钦安弘文定业高皇帝</x:v>
      </x:c>
    </x:row>
    <x:row r="6" ht="46" customHeight="1">
      <x:c r="A6" s="100" t="str">
        <x:v>QH-E-02</x:v>
      </x:c>
      <x:c r="B6" s="100" t="str">
        <x:v>2</x:v>
      </x:c>
      <x:c r="C6" s="100" t="str">
        <x:v>爱新觉罗·皇太极</x:v>
      </x:c>
      <x:c r="D6" s="100" t="str">
        <x:v>天聪；崇德</x:v>
      </x:c>
      <x:c r="E6" s="100" t="str">
        <x:v>太宗</x:v>
      </x:c>
      <x:c r="F6" s="100" t="str">
        <x:v>1592</x:v>
      </x:c>
      <x:c r="G6" s="100" t="str">
        <x:v>1643</x:v>
      </x:c>
      <x:c r="H6" s="100" t="str">
        <x:v>1626</x:v>
      </x:c>
      <x:c r="I6" s="100" t="str">
        <x:v>1643</x:v>
      </x:c>
      <x:c r="J6" s="100" t="str">
        <x:v>17</x:v>
      </x:c>
      <x:c r="K6" s="100" t="str">
        <x:v>爱新觉罗·努尔哈赤</x:v>
      </x:c>
      <x:c r="L6" s="100" t="str">
        <x:v>叶赫那拉氏（孝慈高皇后）</x:v>
      </x:c>
      <x:c r="M6" s="100" t="str">
        <x:v>爱新觉罗·努尔哈赤</x:v>
      </x:c>
      <x:c r="N6" s="100" t="str">
        <x:v>爱新觉罗·福临</x:v>
      </x:c>
      <x:c r="O6" s="100" t="str">
        <x:v>沈阳昭陵</x:v>
      </x:c>
      <x:c r="P6" s="100" t="str">
        <x:v>卷2–3 本纪二至三 太宗本纪</x:v>
      </x:c>
      <x:c r="Q6" s="100" t="str">
        <x:v>大清太宗文皇帝实录</x:v>
      </x:c>
      <x:c r="R6" s="100" t="str">
        <x:v>https://www.dpm.org.cn/court/lineage/226251.html</x:v>
      </x:c>
      <x:c r="S6" s="100" t="str">
        <x:v>骨架已回查</x:v>
      </x:c>
      <x:c r="T6" s="100" t="str">
        <x:v>1636 改国号大清；天聪汗位与崇德帝位的称号时态需分开</x:v>
      </x:c>
      <x:c r="U6" s="100" t="str">
        <x:v>努尔哈赤第八子</x:v>
      </x:c>
      <x:c r="V6" s="100" t="str"/>
      <x:c r="W6" s="100" t="str">
        <x:v>应天兴国弘德彰武宽温仁圣睿孝敬敏昭定隆道显功文皇帝</x:v>
      </x:c>
    </x:row>
    <x:row r="7" ht="46" customHeight="1">
      <x:c r="A7" s="100" t="str">
        <x:v>QH-E-03</x:v>
      </x:c>
      <x:c r="B7" s="100" t="str">
        <x:v>3</x:v>
      </x:c>
      <x:c r="C7" s="100" t="str">
        <x:v>爱新觉罗·福临</x:v>
      </x:c>
      <x:c r="D7" s="100" t="str">
        <x:v>顺治</x:v>
      </x:c>
      <x:c r="E7" s="100" t="str">
        <x:v>世祖</x:v>
      </x:c>
      <x:c r="F7" s="100" t="str">
        <x:v>1638</x:v>
      </x:c>
      <x:c r="G7" s="100" t="str">
        <x:v>1661</x:v>
      </x:c>
      <x:c r="H7" s="100" t="str">
        <x:v>1643</x:v>
      </x:c>
      <x:c r="I7" s="100" t="str">
        <x:v>1661</x:v>
      </x:c>
      <x:c r="J7" s="100" t="str">
        <x:v>18</x:v>
      </x:c>
      <x:c r="K7" s="100" t="str">
        <x:v>爱新觉罗·皇太极</x:v>
      </x:c>
      <x:c r="L7" s="100" t="str">
        <x:v>博尔济吉特氏（孝庄文皇后）</x:v>
      </x:c>
      <x:c r="M7" s="100" t="str">
        <x:v>爱新觉罗·皇太极</x:v>
      </x:c>
      <x:c r="N7" s="100" t="str">
        <x:v>爱新觉罗·玄烨</x:v>
      </x:c>
      <x:c r="O7" s="100" t="str">
        <x:v>清东陵孝陵</x:v>
      </x:c>
      <x:c r="P7" s="100" t="str">
        <x:v>卷4–5 本纪四至五 世祖本纪</x:v>
      </x:c>
      <x:c r="Q7" s="100" t="str">
        <x:v>大清世祖章皇帝实录</x:v>
      </x:c>
      <x:c r="R7" s="100" t="str">
        <x:v>https://www.dpm.org.cn/court/lineage/226262.html</x:v>
      </x:c>
      <x:c r="S7" s="100" t="str">
        <x:v>骨架已回查</x:v>
      </x:c>
      <x:c r="T7" s="100" t="str">
        <x:v>1643 在盛京即位并定翌年改元顺治；1644 入北京后再行登极礼；幼帝由多尔衮摄政，亲政后追罪多尔衮</x:v>
      </x:c>
      <x:c r="U7" s="100" t="str">
        <x:v>皇太极第九子</x:v>
      </x:c>
      <x:c r="V7" s="100" t="str"/>
      <x:c r="W7" s="100" t="str">
        <x:v>体天隆运定统建极英睿钦文显武大德弘功至仁纯孝章皇帝</x:v>
      </x:c>
    </x:row>
    <x:row r="8" ht="46" customHeight="1">
      <x:c r="A8" s="100" t="str">
        <x:v>QH-E-04</x:v>
      </x:c>
      <x:c r="B8" s="100" t="str">
        <x:v>4</x:v>
      </x:c>
      <x:c r="C8" s="100" t="str">
        <x:v>爱新觉罗·玄烨</x:v>
      </x:c>
      <x:c r="D8" s="100" t="str">
        <x:v>康熙</x:v>
      </x:c>
      <x:c r="E8" s="100" t="str">
        <x:v>圣祖</x:v>
      </x:c>
      <x:c r="F8" s="100" t="str">
        <x:v>1654</x:v>
      </x:c>
      <x:c r="G8" s="100" t="str">
        <x:v>1722</x:v>
      </x:c>
      <x:c r="H8" s="100" t="str">
        <x:v>1661</x:v>
      </x:c>
      <x:c r="I8" s="100" t="str">
        <x:v>1722</x:v>
      </x:c>
      <x:c r="J8" s="100" t="str">
        <x:v>61</x:v>
      </x:c>
      <x:c r="K8" s="100" t="str">
        <x:v>爱新觉罗·福临</x:v>
      </x:c>
      <x:c r="L8" s="100" t="str">
        <x:v>佟佳氏（孝康章皇后）</x:v>
      </x:c>
      <x:c r="M8" s="100" t="str">
        <x:v>爱新觉罗·福临</x:v>
      </x:c>
      <x:c r="N8" s="100" t="str">
        <x:v>爱新觉罗·胤禛</x:v>
      </x:c>
      <x:c r="O8" s="100" t="str">
        <x:v>清东陵景陵</x:v>
      </x:c>
      <x:c r="P8" s="100" t="str">
        <x:v>卷6–8 本纪六至八 圣祖本纪</x:v>
      </x:c>
      <x:c r="Q8" s="100" t="str">
        <x:v>大清圣祖仁皇帝实录</x:v>
      </x:c>
      <x:c r="R8" s="100" t="str">
        <x:v>https://www.dpm.org.cn/court/lineage/226256.html</x:v>
      </x:c>
      <x:c r="S8" s="100" t="str">
        <x:v>进入深挖</x:v>
      </x:c>
      <x:c r="T8" s="100" t="str">
        <x:v>继承与皇子关系为当前纵切片核心</x:v>
      </x:c>
      <x:c r="U8" s="100" t="str">
        <x:v>顺治第三子</x:v>
      </x:c>
      <x:c r="V8" s="100" t="str"/>
      <x:c r="W8" s="100" t="str">
        <x:v>合天弘运文武睿哲恭俭宽裕孝敬诚信功德大成仁皇帝</x:v>
      </x:c>
    </x:row>
    <x:row r="9" ht="46" customHeight="1">
      <x:c r="A9" s="100" t="str">
        <x:v>QH-E-05</x:v>
      </x:c>
      <x:c r="B9" s="100" t="str">
        <x:v>5</x:v>
      </x:c>
      <x:c r="C9" s="100" t="str">
        <x:v>爱新觉罗·胤禛</x:v>
      </x:c>
      <x:c r="D9" s="100" t="str">
        <x:v>雍正</x:v>
      </x:c>
      <x:c r="E9" s="100" t="str">
        <x:v>世宗</x:v>
      </x:c>
      <x:c r="F9" s="100" t="str">
        <x:v>1678</x:v>
      </x:c>
      <x:c r="G9" s="100" t="str">
        <x:v>1735</x:v>
      </x:c>
      <x:c r="H9" s="100" t="str">
        <x:v>1722</x:v>
      </x:c>
      <x:c r="I9" s="100" t="str">
        <x:v>1735</x:v>
      </x:c>
      <x:c r="J9" s="100" t="str">
        <x:v>13</x:v>
      </x:c>
      <x:c r="K9" s="100" t="str">
        <x:v>爱新觉罗·玄烨</x:v>
      </x:c>
      <x:c r="L9" s="100" t="str">
        <x:v>乌雅氏（孝恭仁皇后）</x:v>
      </x:c>
      <x:c r="M9" s="100" t="str">
        <x:v>爱新觉罗·玄烨</x:v>
      </x:c>
      <x:c r="N9" s="100" t="str">
        <x:v>爱新觉罗·弘历</x:v>
      </x:c>
      <x:c r="O9" s="100" t="str">
        <x:v>清西陵泰陵</x:v>
      </x:c>
      <x:c r="P9" s="100" t="str">
        <x:v>卷9 本纪九 世宗本纪</x:v>
      </x:c>
      <x:c r="Q9" s="100" t="str">
        <x:v>大清世宗宪皇帝实录</x:v>
      </x:c>
      <x:c r="R9" s="100" t="str">
        <x:v>https://www.dpm.org.cn/court/lineage/226259.html</x:v>
      </x:c>
      <x:c r="S9" s="100" t="str">
        <x:v>进入深挖</x:v>
      </x:c>
      <x:c r="T9" s="100" t="str">
        <x:v>即位争议与遗诏版本必须作为冲突主张处理</x:v>
      </x:c>
      <x:c r="U9" s="100" t="str">
        <x:v>康熙第四子</x:v>
      </x:c>
      <x:c r="V9" s="100" t="str"/>
      <x:c r="W9" s="100" t="str">
        <x:v>敬天昌运建中表正文武英明宽仁信毅睿圣大孝至诚宪皇帝</x:v>
      </x:c>
    </x:row>
    <x:row r="10" ht="46" customHeight="1">
      <x:c r="A10" s="100" t="str">
        <x:v>QH-E-06</x:v>
      </x:c>
      <x:c r="B10" s="100" t="str">
        <x:v>6</x:v>
      </x:c>
      <x:c r="C10" s="100" t="str">
        <x:v>爱新觉罗·弘历</x:v>
      </x:c>
      <x:c r="D10" s="100" t="str">
        <x:v>乾隆</x:v>
      </x:c>
      <x:c r="E10" s="100" t="str">
        <x:v>高宗</x:v>
      </x:c>
      <x:c r="F10" s="100" t="str">
        <x:v>1711</x:v>
      </x:c>
      <x:c r="G10" s="100" t="str">
        <x:v>1799</x:v>
      </x:c>
      <x:c r="H10" s="100" t="str">
        <x:v>1735</x:v>
      </x:c>
      <x:c r="I10" s="100" t="str">
        <x:v>1796</x:v>
      </x:c>
      <x:c r="J10" s="100" t="str">
        <x:v>60</x:v>
      </x:c>
      <x:c r="K10" s="100" t="str">
        <x:v>爱新觉罗·胤禛</x:v>
      </x:c>
      <x:c r="L10" s="100" t="str">
        <x:v>钮祜禄氏（孝圣宪皇后）</x:v>
      </x:c>
      <x:c r="M10" s="100" t="str">
        <x:v>爱新觉罗·胤禛</x:v>
      </x:c>
      <x:c r="N10" s="100" t="str">
        <x:v>爱新觉罗·颙琰</x:v>
      </x:c>
      <x:c r="O10" s="100" t="str">
        <x:v>清东陵裕陵</x:v>
      </x:c>
      <x:c r="P10" s="100" t="str">
        <x:v>卷10–15 本纪十至十五 高宗本纪</x:v>
      </x:c>
      <x:c r="Q10" s="100" t="str">
        <x:v>大清高宗纯皇帝实录</x:v>
      </x:c>
      <x:c r="R10" s="100" t="str">
        <x:v>https://www.dpm.org.cn/court/lineage/226263.html</x:v>
      </x:c>
      <x:c r="S10" s="100" t="str">
        <x:v>骨架已回查</x:v>
      </x:c>
      <x:c r="T10" s="100" t="str">
        <x:v>1796 禅位后继续训政；在位与实际执政必须拆分</x:v>
      </x:c>
      <x:c r="U10" s="100" t="str">
        <x:v>雍正第四子</x:v>
      </x:c>
      <x:c r="V10" s="100" t="str">
        <x:v>十全老人</x:v>
      </x:c>
      <x:c r="W10" s="100" t="str">
        <x:v>法天隆运至诚先觉体元立极敷文奋武钦明孝慈神圣纯皇帝</x:v>
      </x:c>
    </x:row>
    <x:row r="11" ht="46" customHeight="1">
      <x:c r="A11" s="100" t="str">
        <x:v>QH-E-07</x:v>
      </x:c>
      <x:c r="B11" s="100" t="str">
        <x:v>7</x:v>
      </x:c>
      <x:c r="C11" s="100" t="str">
        <x:v>爱新觉罗·颙琰</x:v>
      </x:c>
      <x:c r="D11" s="100" t="str">
        <x:v>嘉庆</x:v>
      </x:c>
      <x:c r="E11" s="100" t="str">
        <x:v>仁宗</x:v>
      </x:c>
      <x:c r="F11" s="100" t="str">
        <x:v>1760</x:v>
      </x:c>
      <x:c r="G11" s="100" t="str">
        <x:v>1820</x:v>
      </x:c>
      <x:c r="H11" s="100" t="str">
        <x:v>1796</x:v>
      </x:c>
      <x:c r="I11" s="100" t="str">
        <x:v>1820</x:v>
      </x:c>
      <x:c r="J11" s="100" t="str">
        <x:v>25</x:v>
      </x:c>
      <x:c r="K11" s="100" t="str">
        <x:v>爱新觉罗·弘历</x:v>
      </x:c>
      <x:c r="L11" s="100" t="str">
        <x:v>魏佳氏（孝仪纯皇后）</x:v>
      </x:c>
      <x:c r="M11" s="100" t="str">
        <x:v>爱新觉罗·弘历</x:v>
      </x:c>
      <x:c r="N11" s="100" t="str">
        <x:v>爱新觉罗·旻宁</x:v>
      </x:c>
      <x:c r="O11" s="100" t="str">
        <x:v>清西陵昌陵</x:v>
      </x:c>
      <x:c r="P11" s="100" t="str">
        <x:v>卷16 本纪十六 仁宗本纪</x:v>
      </x:c>
      <x:c r="Q11" s="100" t="str">
        <x:v>大清仁宗睿皇帝实录</x:v>
      </x:c>
      <x:c r="R11" s="100" t="str">
        <x:v>https://www.dpm.org.cn/court/lineage/226238.html</x:v>
      </x:c>
      <x:c r="S11" s="100" t="str">
        <x:v>骨架已回查</x:v>
      </x:c>
      <x:c r="T11" s="100" t="str">
        <x:v>1796–1799 太上皇训政期需单独表达；原名永琰，即位后避讳改颙琰</x:v>
      </x:c>
      <x:c r="U11" s="100" t="str">
        <x:v>乾隆第十五子</x:v>
      </x:c>
      <x:c r="V11" s="100" t="str"/>
      <x:c r="W11" s="100" t="str">
        <x:v>受天兴运敷化绥猷崇文经武孝恭勤俭端敏英哲睿皇帝</x:v>
      </x:c>
    </x:row>
    <x:row r="12" ht="46" customHeight="1">
      <x:c r="A12" s="100" t="str">
        <x:v>QH-E-08</x:v>
      </x:c>
      <x:c r="B12" s="100" t="str">
        <x:v>8</x:v>
      </x:c>
      <x:c r="C12" s="100" t="str">
        <x:v>爱新觉罗·旻宁</x:v>
      </x:c>
      <x:c r="D12" s="100" t="str">
        <x:v>道光</x:v>
      </x:c>
      <x:c r="E12" s="100" t="str">
        <x:v>宣宗</x:v>
      </x:c>
      <x:c r="F12" s="100" t="str">
        <x:v>1782</x:v>
      </x:c>
      <x:c r="G12" s="100" t="str">
        <x:v>1850</x:v>
      </x:c>
      <x:c r="H12" s="100" t="str">
        <x:v>1820</x:v>
      </x:c>
      <x:c r="I12" s="100" t="str">
        <x:v>1850</x:v>
      </x:c>
      <x:c r="J12" s="100" t="str">
        <x:v>30</x:v>
      </x:c>
      <x:c r="K12" s="100" t="str">
        <x:v>爱新觉罗·颙琰</x:v>
      </x:c>
      <x:c r="L12" s="100" t="str">
        <x:v>喜塔腊氏（孝淑睿皇后）</x:v>
      </x:c>
      <x:c r="M12" s="100" t="str">
        <x:v>爱新觉罗·颙琰</x:v>
      </x:c>
      <x:c r="N12" s="100" t="str">
        <x:v>爱新觉罗·奕詝</x:v>
      </x:c>
      <x:c r="O12" s="100" t="str">
        <x:v>清西陵慕陵</x:v>
      </x:c>
      <x:c r="P12" s="100" t="str">
        <x:v>卷17–19 本纪十七至十九 宣宗本纪</x:v>
      </x:c>
      <x:c r="Q12" s="100" t="str">
        <x:v>大清宣宗成皇帝实录</x:v>
      </x:c>
      <x:c r="R12" s="100" t="str">
        <x:v>https://www.dpm.org.cn/court/lineage/226239.html</x:v>
      </x:c>
      <x:c r="S12" s="100" t="str">
        <x:v>骨架已回查</x:v>
      </x:c>
      <x:c r="T12" s="100" t="str">
        <x:v>原名绵宁，即位后避讳改旻宁，名称时态需记录</x:v>
      </x:c>
      <x:c r="U12" s="100" t="str">
        <x:v>嘉庆第二子</x:v>
      </x:c>
      <x:c r="V12" s="100" t="str"/>
      <x:c r="W12" s="100" t="str">
        <x:v>效天符运立中体正至文圣武智勇仁慈俭勤孝敏宽定成皇帝</x:v>
      </x:c>
    </x:row>
    <x:row r="13" ht="46" customHeight="1">
      <x:c r="A13" s="100" t="str">
        <x:v>QH-E-09</x:v>
      </x:c>
      <x:c r="B13" s="100" t="str">
        <x:v>9</x:v>
      </x:c>
      <x:c r="C13" s="100" t="str">
        <x:v>爱新觉罗·奕詝</x:v>
      </x:c>
      <x:c r="D13" s="100" t="str">
        <x:v>咸丰</x:v>
      </x:c>
      <x:c r="E13" s="100" t="str">
        <x:v>文宗</x:v>
      </x:c>
      <x:c r="F13" s="100" t="str">
        <x:v>1831</x:v>
      </x:c>
      <x:c r="G13" s="100" t="str">
        <x:v>1861</x:v>
      </x:c>
      <x:c r="H13" s="100" t="str">
        <x:v>1850</x:v>
      </x:c>
      <x:c r="I13" s="100" t="str">
        <x:v>1861</x:v>
      </x:c>
      <x:c r="J13" s="100" t="str">
        <x:v>11</x:v>
      </x:c>
      <x:c r="K13" s="100" t="str">
        <x:v>爱新觉罗·旻宁</x:v>
      </x:c>
      <x:c r="L13" s="100" t="str">
        <x:v>钮祜禄氏（孝全成皇后）</x:v>
      </x:c>
      <x:c r="M13" s="100" t="str">
        <x:v>爱新觉罗·旻宁</x:v>
      </x:c>
      <x:c r="N13" s="100" t="str">
        <x:v>爱新觉罗·载淳</x:v>
      </x:c>
      <x:c r="O13" s="100" t="str">
        <x:v>清东陵定陵</x:v>
      </x:c>
      <x:c r="P13" s="100" t="str">
        <x:v>卷20 本纪二十 文宗本纪</x:v>
      </x:c>
      <x:c r="Q13" s="100" t="str">
        <x:v>大清文宗显皇帝实录</x:v>
      </x:c>
      <x:c r="R13" s="100" t="str">
        <x:v>https://www.dpm.org.cn/court/lineage/226247.html</x:v>
      </x:c>
      <x:c r="S13" s="100" t="str">
        <x:v>骨架已回查</x:v>
      </x:c>
      <x:c r="T13" s="100" t="str">
        <x:v>太平天国与第二次鸦片战争并行；祺祥改同治及赞襄政务安排属于身后继承事件</x:v>
      </x:c>
      <x:c r="U13" s="100" t="str">
        <x:v>道光第四子</x:v>
      </x:c>
      <x:c r="V13" s="100" t="str"/>
      <x:c r="W13" s="100" t="str">
        <x:v>协天翊运执中垂谟懋德振武圣孝渊恭端仁宽敏显皇帝</x:v>
      </x:c>
    </x:row>
    <x:row r="14" ht="46" customHeight="1">
      <x:c r="A14" s="100" t="str">
        <x:v>QH-E-10</x:v>
      </x:c>
      <x:c r="B14" s="100" t="str">
        <x:v>10</x:v>
      </x:c>
      <x:c r="C14" s="100" t="str">
        <x:v>爱新觉罗·载淳</x:v>
      </x:c>
      <x:c r="D14" s="100" t="str">
        <x:v>同治</x:v>
      </x:c>
      <x:c r="E14" s="100" t="str">
        <x:v>穆宗</x:v>
      </x:c>
      <x:c r="F14" s="100" t="str">
        <x:v>1856</x:v>
      </x:c>
      <x:c r="G14" s="100" t="str">
        <x:v>1875</x:v>
      </x:c>
      <x:c r="H14" s="100" t="str">
        <x:v>1861</x:v>
      </x:c>
      <x:c r="I14" s="100" t="str">
        <x:v>1875</x:v>
      </x:c>
      <x:c r="J14" s="100" t="str">
        <x:v>13</x:v>
      </x:c>
      <x:c r="K14" s="100" t="str">
        <x:v>爱新觉罗·奕詝</x:v>
      </x:c>
      <x:c r="L14" s="100" t="str">
        <x:v>叶赫那拉氏（孝钦显皇后）</x:v>
      </x:c>
      <x:c r="M14" s="100" t="str">
        <x:v>爱新觉罗·奕詝</x:v>
      </x:c>
      <x:c r="N14" s="100" t="str">
        <x:v>爱新觉罗·载湉</x:v>
      </x:c>
      <x:c r="O14" s="100" t="str">
        <x:v>清东陵惠陵</x:v>
      </x:c>
      <x:c r="P14" s="100" t="str">
        <x:v>卷21–22 本纪二十一至二十二 穆宗本纪</x:v>
      </x:c>
      <x:c r="Q14" s="100" t="str">
        <x:v>大清穆宗毅皇帝实录</x:v>
      </x:c>
      <x:c r="R14" s="100" t="str">
        <x:v>https://www.dpm.org.cn/court/lineage/226248.html</x:v>
      </x:c>
      <x:c r="S14" s="100" t="str">
        <x:v>骨架已回查</x:v>
      </x:c>
      <x:c r="T14" s="100" t="str">
        <x:v>两宫垂帘，1873 亲政；公历年界与故宫页面展示 1862–1874 不同；死因官方记天花，梅毒说待核</x:v>
      </x:c>
      <x:c r="U14" s="100" t="str">
        <x:v>咸丰长子</x:v>
      </x:c>
      <x:c r="V14" s="100" t="str"/>
      <x:c r="W14" s="100" t="str">
        <x:v>继天开运受中居正保大定功圣智诚孝信敏恭宽毅皇帝</x:v>
      </x:c>
    </x:row>
    <x:row r="15" ht="46" customHeight="1">
      <x:c r="A15" s="100" t="str">
        <x:v>QH-E-11</x:v>
      </x:c>
      <x:c r="B15" s="100" t="str">
        <x:v>11</x:v>
      </x:c>
      <x:c r="C15" s="100" t="str">
        <x:v>爱新觉罗·载湉</x:v>
      </x:c>
      <x:c r="D15" s="100" t="str">
        <x:v>光绪</x:v>
      </x:c>
      <x:c r="E15" s="100" t="str">
        <x:v>德宗</x:v>
      </x:c>
      <x:c r="F15" s="100" t="str">
        <x:v>1871</x:v>
      </x:c>
      <x:c r="G15" s="100" t="str">
        <x:v>1908</x:v>
      </x:c>
      <x:c r="H15" s="100" t="str">
        <x:v>1875</x:v>
      </x:c>
      <x:c r="I15" s="100" t="str">
        <x:v>1908</x:v>
      </x:c>
      <x:c r="J15" s="100" t="str">
        <x:v>34</x:v>
      </x:c>
      <x:c r="K15" s="100" t="str">
        <x:v>爱新觉罗·奕譞</x:v>
      </x:c>
      <x:c r="L15" s="100" t="str">
        <x:v>叶赫那拉氏</x:v>
      </x:c>
      <x:c r="M15" s="100" t="str">
        <x:v>爱新觉罗·载淳</x:v>
      </x:c>
      <x:c r="N15" s="100" t="str">
        <x:v>爱新觉罗·溥仪</x:v>
      </x:c>
      <x:c r="O15" s="100" t="str">
        <x:v>清西陵崇陵</x:v>
      </x:c>
      <x:c r="P15" s="100" t="str">
        <x:v>卷23–24 本纪二十三至二十四 德宗本纪</x:v>
      </x:c>
      <x:c r="Q15" s="100" t="str">
        <x:v>大清德宗景皇帝实录</x:v>
      </x:c>
      <x:c r="R15" s="100" t="str">
        <x:v>https://www.dpm.org.cn/court/lineage/226254.html</x:v>
      </x:c>
      <x:c r="S15" s="100" t="str">
        <x:v>骨架已回查</x:v>
      </x:c>
      <x:c r="T15" s="100" t="str">
        <x:v>过继即位，生父醇亲王奕譞；甲午、戊戌、庚子、新政是骨架；砷中毒死因待核，下毒者未知</x:v>
      </x:c>
      <x:c r="U15" s="100" t="str">
        <x:v>醇亲王奕譞第二子</x:v>
      </x:c>
      <x:c r="V15" s="100" t="str"/>
      <x:c r="W15" s="100" t="str">
        <x:v>同天崇运大中至正经文纬武仁孝睿智端俭宽勤景皇帝</x:v>
      </x:c>
    </x:row>
    <x:row r="16" ht="46" customHeight="1">
      <x:c r="A16" s="100" t="str">
        <x:v>QH-E-12</x:v>
      </x:c>
      <x:c r="B16" s="100" t="str">
        <x:v>12</x:v>
      </x:c>
      <x:c r="C16" s="100" t="str">
        <x:v>爱新觉罗·溥仪</x:v>
      </x:c>
      <x:c r="D16" s="100" t="str">
        <x:v>宣统</x:v>
      </x:c>
      <x:c r="E16" s="100" t="str"/>
      <x:c r="F16" s="100" t="str">
        <x:v>1906</x:v>
      </x:c>
      <x:c r="G16" s="100" t="str">
        <x:v>1967</x:v>
      </x:c>
      <x:c r="H16" s="100" t="str">
        <x:v>1908</x:v>
      </x:c>
      <x:c r="I16" s="100" t="str">
        <x:v>1912</x:v>
      </x:c>
      <x:c r="J16" s="100" t="str">
        <x:v>3</x:v>
      </x:c>
      <x:c r="K16" s="100" t="str">
        <x:v>爱新觉罗·载沣</x:v>
      </x:c>
      <x:c r="L16" s="100" t="str">
        <x:v>瓜尔佳氏</x:v>
      </x:c>
      <x:c r="M16" s="100" t="str">
        <x:v>爱新觉罗·载湉</x:v>
      </x:c>
      <x:c r="N16" s="100" t="str"/>
      <x:c r="O16" s="100" t="str">
        <x:v>河北华龙皇家陵园</x:v>
      </x:c>
      <x:c r="P16" s="100" t="str">
        <x:v>卷25 本纪二十五 宣统皇帝本纪</x:v>
      </x:c>
      <x:c r="Q16" s="100" t="str">
        <x:v>无传统宣统朝实录；用政书档案与清史稿等补充</x:v>
      </x:c>
      <x:c r="R16" s="100" t="str">
        <x:v>https://www.dpm.org.cn/court/lineage/226255.html</x:v>
      </x:c>
      <x:c r="S16" s="100" t="str">
        <x:v>骨架已回查</x:v>
      </x:c>
      <x:c r="T16" s="100" t="str">
        <x:v>1908 即位、1909 为宣统元年、1912 退位；政治前任为光绪帝载湉，礼法嗣系另见宣统章节；后续复辟和伪满经历不属于清朝在位期</x:v>
      </x:c>
      <x:c r="U16" s="100" t="str">
        <x:v>醇亲王载沣长子</x:v>
      </x:c>
      <x:c r="V16" s="100" t="str"/>
      <x:c r="W16" s="100" t="str"/>
    </x:row>
  </x:sheetData>
  <x:mergeCells>
    <x:mergeCell ref="A1:W1"/>
    <x:mergeCell ref="A2:W2"/>
  </x:mergeCells>
  <x:conditionalFormatting sqref="S5:S16">
    <x:cfRule type="containsText" dxfId="0" priority="1" operator="containsText" text="已完成"/>
    <x:cfRule type="containsText" dxfId="1" priority="2" operator="containsText" text="已通过"/>
    <x:cfRule type="containsText" dxfId="2" priority="3" operator="containsText" text="进行中"/>
    <x:cfRule type="containsText" dxfId="3" priority="4" operator="containsText" text="待审核"/>
    <x:cfRule type="containsText" dxfId="4" priority="5" operator="containsText" text="阻塞"/>
  </x:conditionalFormatting>
  <x:pageMargins left="0.7" right="0.7" top="0.75" bottom="0.75" header="0.3" footer="0.3"/>
  <x:tableParts count="1">
    <x:tablePart xmlns:r="http://schemas.openxmlformats.org/officeDocument/2006/relationships" r:id="R26c51088bfae4e5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34" hidden="0" customWidth="1"/>
    <x:col min="4" max="4" width="24" hidden="0" customWidth="1"/>
    <x:col min="5" max="5" width="34" hidden="0" customWidth="1"/>
    <x:col min="6" max="6" width="58" hidden="0" customWidth="1"/>
    <x:col min="7" max="7" width="42" hidden="0" customWidth="1"/>
    <x:col min="8" max="8" width="56" hidden="0" customWidth="1"/>
    <x:col min="9" max="9" width="14" hidden="0" customWidth="1"/>
    <x:col min="10" max="10" width="14" hidden="0" customWidth="1"/>
    <x:col min="11" max="11" width="12" hidden="0" customWidth="1"/>
  </x:cols>
  <x:sheetData>
    <x:row r="1" ht="34" customHeight="1">
      <x:c r="A1" s="3" t="str">
        <x:v>帝王史料索引</x:v>
      </x:c>
    </x:row>
    <x:row r="2" ht="24" customHeight="1">
      <x:c r="A2" s="6" t="str">
        <x:v>官方人物页、实录、《清史稿》和图像库入口；在线可检索不等于允许整库复制</x:v>
      </x:c>
    </x:row>
    <x:row r="4" ht="32" customHeight="1">
      <x:c r="A4" s="92" t="str">
        <x:v>index_id</x:v>
      </x:c>
      <x:c r="B4" s="93" t="str">
        <x:v>emperor_id</x:v>
      </x:c>
      <x:c r="C4" s="93" t="str">
        <x:v>资源名称</x:v>
      </x:c>
      <x:c r="D4" s="93" t="str">
        <x:v>资源类型</x:v>
      </x:c>
      <x:c r="E4" s="93" t="str">
        <x:v>卷次或范围</x:v>
      </x:c>
      <x:c r="F4" s="93" t="str">
        <x:v>访问网址</x:v>
      </x:c>
      <x:c r="G4" s="93" t="str">
        <x:v>证据用途</x:v>
      </x:c>
      <x:c r="H4" s="93" t="str">
        <x:v>再利用策略</x:v>
      </x:c>
      <x:c r="I4" s="93" t="str">
        <x:v>核查日期</x:v>
      </x:c>
      <x:c r="J4" s="93" t="str">
        <x:v>状态</x:v>
      </x:c>
      <x:c r="K4" s="94" t="str">
        <x:v>open_state</x:v>
      </x:c>
    </x:row>
    <x:row r="5" ht="44" customHeight="1">
      <x:c r="A5" s="99" t="str">
        <x:v>IDX-001</x:v>
      </x:c>
      <x:c r="B5" s="99" t="str">
        <x:v>QH-E-01</x:v>
      </x:c>
      <x:c r="C5" s="99" t="str">
        <x:v>故宫宫廷世系·努尔哈赤</x:v>
      </x:c>
      <x:c r="D5" s="99" t="str">
        <x:v>官方人物页</x:v>
      </x:c>
      <x:c r="E5" s="99" t="str">
        <x:v>生平与大事年表</x:v>
      </x:c>
      <x:c r="F5" s="99" t="str">
        <x:v>https://www.dpm.org.cn/court/lineage/226250.html</x:v>
      </x:c>
      <x:c r="G5" s="99" t="str">
        <x:v>人物骨架与馆藏发现</x:v>
      </x:c>
      <x:c r="H5" s="99" t="str">
        <x:v>只保存自建摘要和链接；图片不镜像</x:v>
      </x:c>
      <x:c r="I5" s="99" t="str">
        <x:v>2026-08-12</x:v>
      </x:c>
      <x:c r="J5" s="99" t="str">
        <x:v>已打开</x:v>
      </x:c>
      <x:c r="K5" s="99" t="str">
        <x:v>L0</x:v>
      </x:c>
    </x:row>
    <x:row r="6" ht="44" customHeight="1">
      <x:c r="A6" s="100" t="str">
        <x:v>IDX-002</x:v>
      </x:c>
      <x:c r="B6" s="100" t="str">
        <x:v>QH-E-02</x:v>
      </x:c>
      <x:c r="C6" s="100" t="str">
        <x:v>故宫宫廷世系·皇太极</x:v>
      </x:c>
      <x:c r="D6" s="100" t="str">
        <x:v>官方人物页</x:v>
      </x:c>
      <x:c r="E6" s="100" t="str">
        <x:v>生平与大事年表</x:v>
      </x:c>
      <x:c r="F6" s="100" t="str">
        <x:v>https://www.dpm.org.cn/court/lineage/226251.html</x:v>
      </x:c>
      <x:c r="G6" s="100" t="str">
        <x:v>人物骨架与馆藏发现</x:v>
      </x:c>
      <x:c r="H6" s="100" t="str">
        <x:v>只保存自建摘要和链接；图片不镜像</x:v>
      </x:c>
      <x:c r="I6" s="100" t="str">
        <x:v>2026-08-12</x:v>
      </x:c>
      <x:c r="J6" s="100" t="str">
        <x:v>已打开</x:v>
      </x:c>
      <x:c r="K6" s="100" t="str">
        <x:v>L0</x:v>
      </x:c>
    </x:row>
    <x:row r="7" ht="44" customHeight="1">
      <x:c r="A7" s="100" t="str">
        <x:v>IDX-003</x:v>
      </x:c>
      <x:c r="B7" s="100" t="str">
        <x:v>QH-E-03</x:v>
      </x:c>
      <x:c r="C7" s="100" t="str">
        <x:v>故宫宫廷世系·顺治</x:v>
      </x:c>
      <x:c r="D7" s="100" t="str">
        <x:v>官方人物页</x:v>
      </x:c>
      <x:c r="E7" s="100" t="str">
        <x:v>生平与大事年表</x:v>
      </x:c>
      <x:c r="F7" s="100" t="str">
        <x:v>https://www.dpm.org.cn/court/lineage/226262.html</x:v>
      </x:c>
      <x:c r="G7" s="100" t="str">
        <x:v>人物骨架与馆藏发现</x:v>
      </x:c>
      <x:c r="H7" s="100" t="str">
        <x:v>只保存自建摘要和链接；图片不镜像</x:v>
      </x:c>
      <x:c r="I7" s="100" t="str">
        <x:v>2026-08-12</x:v>
      </x:c>
      <x:c r="J7" s="100" t="str">
        <x:v>已打开</x:v>
      </x:c>
      <x:c r="K7" s="100" t="str">
        <x:v>L0</x:v>
      </x:c>
    </x:row>
    <x:row r="8" ht="44" customHeight="1">
      <x:c r="A8" s="100" t="str">
        <x:v>IDX-004</x:v>
      </x:c>
      <x:c r="B8" s="100" t="str">
        <x:v>QH-E-04</x:v>
      </x:c>
      <x:c r="C8" s="100" t="str">
        <x:v>故宫宫廷世系·康熙</x:v>
      </x:c>
      <x:c r="D8" s="100" t="str">
        <x:v>官方人物页</x:v>
      </x:c>
      <x:c r="E8" s="100" t="str">
        <x:v>生平与大事年表</x:v>
      </x:c>
      <x:c r="F8" s="100" t="str">
        <x:v>https://www.dpm.org.cn/court/lineage/226256.html</x:v>
      </x:c>
      <x:c r="G8" s="100" t="str">
        <x:v>人物骨架与馆藏发现</x:v>
      </x:c>
      <x:c r="H8" s="100" t="str">
        <x:v>只保存自建摘要和链接；图片不镜像</x:v>
      </x:c>
      <x:c r="I8" s="100" t="str">
        <x:v>2026-08-12</x:v>
      </x:c>
      <x:c r="J8" s="100" t="str">
        <x:v>已打开</x:v>
      </x:c>
      <x:c r="K8" s="100" t="str">
        <x:v>L0</x:v>
      </x:c>
    </x:row>
    <x:row r="9" ht="44" customHeight="1">
      <x:c r="A9" s="100" t="str">
        <x:v>IDX-005</x:v>
      </x:c>
      <x:c r="B9" s="100" t="str">
        <x:v>QH-E-05</x:v>
      </x:c>
      <x:c r="C9" s="100" t="str">
        <x:v>故宫宫廷世系·雍正</x:v>
      </x:c>
      <x:c r="D9" s="100" t="str">
        <x:v>官方人物页</x:v>
      </x:c>
      <x:c r="E9" s="100" t="str">
        <x:v>生平与大事年表</x:v>
      </x:c>
      <x:c r="F9" s="100" t="str">
        <x:v>https://www.dpm.org.cn/court/lineage/226259.html</x:v>
      </x:c>
      <x:c r="G9" s="100" t="str">
        <x:v>人物骨架与馆藏发现</x:v>
      </x:c>
      <x:c r="H9" s="100" t="str">
        <x:v>只保存自建摘要和链接；图片不镜像</x:v>
      </x:c>
      <x:c r="I9" s="100" t="str">
        <x:v>2026-08-12</x:v>
      </x:c>
      <x:c r="J9" s="100" t="str">
        <x:v>已打开</x:v>
      </x:c>
      <x:c r="K9" s="100" t="str">
        <x:v>L0</x:v>
      </x:c>
    </x:row>
    <x:row r="10" ht="44" customHeight="1">
      <x:c r="A10" s="100" t="str">
        <x:v>IDX-006</x:v>
      </x:c>
      <x:c r="B10" s="100" t="str">
        <x:v>QH-E-06</x:v>
      </x:c>
      <x:c r="C10" s="100" t="str">
        <x:v>故宫宫廷世系·乾隆</x:v>
      </x:c>
      <x:c r="D10" s="100" t="str">
        <x:v>官方人物页</x:v>
      </x:c>
      <x:c r="E10" s="100" t="str">
        <x:v>生平与大事年表</x:v>
      </x:c>
      <x:c r="F10" s="100" t="str">
        <x:v>https://www.dpm.org.cn/court/lineage/226263.html</x:v>
      </x:c>
      <x:c r="G10" s="100" t="str">
        <x:v>人物骨架与馆藏发现</x:v>
      </x:c>
      <x:c r="H10" s="100" t="str">
        <x:v>只保存自建摘要和链接；图片不镜像</x:v>
      </x:c>
      <x:c r="I10" s="100" t="str">
        <x:v>2026-08-12</x:v>
      </x:c>
      <x:c r="J10" s="100" t="str">
        <x:v>已打开</x:v>
      </x:c>
      <x:c r="K10" s="100" t="str">
        <x:v>L0</x:v>
      </x:c>
    </x:row>
    <x:row r="11" ht="44" customHeight="1">
      <x:c r="A11" s="100" t="str">
        <x:v>IDX-007</x:v>
      </x:c>
      <x:c r="B11" s="100" t="str">
        <x:v>QH-E-07</x:v>
      </x:c>
      <x:c r="C11" s="100" t="str">
        <x:v>故宫宫廷世系·嘉庆</x:v>
      </x:c>
      <x:c r="D11" s="100" t="str">
        <x:v>官方人物页</x:v>
      </x:c>
      <x:c r="E11" s="100" t="str">
        <x:v>生平与大事年表</x:v>
      </x:c>
      <x:c r="F11" s="100" t="str">
        <x:v>https://www.dpm.org.cn/court/lineage/226238.html</x:v>
      </x:c>
      <x:c r="G11" s="100" t="str">
        <x:v>人物骨架与馆藏发现</x:v>
      </x:c>
      <x:c r="H11" s="100" t="str">
        <x:v>只保存自建摘要和链接；图片不镜像</x:v>
      </x:c>
      <x:c r="I11" s="100" t="str">
        <x:v>2026-08-12</x:v>
      </x:c>
      <x:c r="J11" s="100" t="str">
        <x:v>已打开</x:v>
      </x:c>
      <x:c r="K11" s="100" t="str">
        <x:v>L0</x:v>
      </x:c>
    </x:row>
    <x:row r="12" ht="44" customHeight="1">
      <x:c r="A12" s="100" t="str">
        <x:v>IDX-008</x:v>
      </x:c>
      <x:c r="B12" s="100" t="str">
        <x:v>QH-E-08</x:v>
      </x:c>
      <x:c r="C12" s="100" t="str">
        <x:v>故宫宫廷世系·道光</x:v>
      </x:c>
      <x:c r="D12" s="100" t="str">
        <x:v>官方人物页</x:v>
      </x:c>
      <x:c r="E12" s="100" t="str">
        <x:v>生平与大事年表</x:v>
      </x:c>
      <x:c r="F12" s="100" t="str">
        <x:v>https://www.dpm.org.cn/court/lineage/226239.html</x:v>
      </x:c>
      <x:c r="G12" s="100" t="str">
        <x:v>人物骨架与馆藏发现</x:v>
      </x:c>
      <x:c r="H12" s="100" t="str">
        <x:v>只保存自建摘要和链接；图片不镜像</x:v>
      </x:c>
      <x:c r="I12" s="100" t="str">
        <x:v>2026-08-12</x:v>
      </x:c>
      <x:c r="J12" s="100" t="str">
        <x:v>已打开</x:v>
      </x:c>
      <x:c r="K12" s="100" t="str">
        <x:v>L0</x:v>
      </x:c>
    </x:row>
    <x:row r="13" ht="44" customHeight="1">
      <x:c r="A13" s="100" t="str">
        <x:v>IDX-009</x:v>
      </x:c>
      <x:c r="B13" s="100" t="str">
        <x:v>QH-E-09</x:v>
      </x:c>
      <x:c r="C13" s="100" t="str">
        <x:v>故宫宫廷世系·咸丰</x:v>
      </x:c>
      <x:c r="D13" s="100" t="str">
        <x:v>官方人物页</x:v>
      </x:c>
      <x:c r="E13" s="100" t="str">
        <x:v>生平与大事年表</x:v>
      </x:c>
      <x:c r="F13" s="100" t="str">
        <x:v>https://www.dpm.org.cn/court/lineage/226247.html</x:v>
      </x:c>
      <x:c r="G13" s="100" t="str">
        <x:v>人物骨架与馆藏发现</x:v>
      </x:c>
      <x:c r="H13" s="100" t="str">
        <x:v>只保存自建摘要和链接；图片不镜像</x:v>
      </x:c>
      <x:c r="I13" s="100" t="str">
        <x:v>2026-08-12</x:v>
      </x:c>
      <x:c r="J13" s="100" t="str">
        <x:v>已打开</x:v>
      </x:c>
      <x:c r="K13" s="100" t="str">
        <x:v>L0</x:v>
      </x:c>
    </x:row>
    <x:row r="14" ht="44" customHeight="1">
      <x:c r="A14" s="100" t="str">
        <x:v>IDX-010</x:v>
      </x:c>
      <x:c r="B14" s="100" t="str">
        <x:v>QH-E-10</x:v>
      </x:c>
      <x:c r="C14" s="100" t="str">
        <x:v>故宫宫廷世系·同治</x:v>
      </x:c>
      <x:c r="D14" s="100" t="str">
        <x:v>官方人物页</x:v>
      </x:c>
      <x:c r="E14" s="100" t="str">
        <x:v>生平与大事年表</x:v>
      </x:c>
      <x:c r="F14" s="100" t="str">
        <x:v>https://www.dpm.org.cn/court/lineage/226248.html</x:v>
      </x:c>
      <x:c r="G14" s="100" t="str">
        <x:v>人物骨架与馆藏发现</x:v>
      </x:c>
      <x:c r="H14" s="100" t="str">
        <x:v>只保存自建摘要和链接；图片不镜像</x:v>
      </x:c>
      <x:c r="I14" s="100" t="str">
        <x:v>2026-08-12</x:v>
      </x:c>
      <x:c r="J14" s="100" t="str">
        <x:v>已打开</x:v>
      </x:c>
      <x:c r="K14" s="100" t="str">
        <x:v>L0</x:v>
      </x:c>
    </x:row>
    <x:row r="15" ht="44" customHeight="1">
      <x:c r="A15" s="100" t="str">
        <x:v>IDX-011</x:v>
      </x:c>
      <x:c r="B15" s="100" t="str">
        <x:v>QH-E-11</x:v>
      </x:c>
      <x:c r="C15" s="100" t="str">
        <x:v>故宫宫廷世系·光绪</x:v>
      </x:c>
      <x:c r="D15" s="100" t="str">
        <x:v>官方人物页</x:v>
      </x:c>
      <x:c r="E15" s="100" t="str">
        <x:v>生平与大事年表</x:v>
      </x:c>
      <x:c r="F15" s="100" t="str">
        <x:v>https://www.dpm.org.cn/court/lineage/226254.html</x:v>
      </x:c>
      <x:c r="G15" s="100" t="str">
        <x:v>人物骨架与馆藏发现</x:v>
      </x:c>
      <x:c r="H15" s="100" t="str">
        <x:v>只保存自建摘要和链接；图片不镜像</x:v>
      </x:c>
      <x:c r="I15" s="100" t="str">
        <x:v>2026-08-12</x:v>
      </x:c>
      <x:c r="J15" s="100" t="str">
        <x:v>已打开</x:v>
      </x:c>
      <x:c r="K15" s="100" t="str">
        <x:v>L0</x:v>
      </x:c>
    </x:row>
    <x:row r="16" ht="44" customHeight="1">
      <x:c r="A16" s="100" t="str">
        <x:v>IDX-012</x:v>
      </x:c>
      <x:c r="B16" s="100" t="str">
        <x:v>QH-E-12</x:v>
      </x:c>
      <x:c r="C16" s="100" t="str">
        <x:v>故宫宫廷世系·宣统</x:v>
      </x:c>
      <x:c r="D16" s="100" t="str">
        <x:v>官方人物页</x:v>
      </x:c>
      <x:c r="E16" s="100" t="str">
        <x:v>生平与大事年表</x:v>
      </x:c>
      <x:c r="F16" s="100" t="str">
        <x:v>https://www.dpm.org.cn/court/lineage/226255.html</x:v>
      </x:c>
      <x:c r="G16" s="100" t="str">
        <x:v>人物骨架与馆藏发现</x:v>
      </x:c>
      <x:c r="H16" s="100" t="str">
        <x:v>只保存自建摘要和链接；图片逐件核权</x:v>
      </x:c>
      <x:c r="I16" s="100" t="str">
        <x:v>2026-08-12</x:v>
      </x:c>
      <x:c r="J16" s="100" t="str">
        <x:v>已打开</x:v>
      </x:c>
      <x:c r="K16" s="100" t="str">
        <x:v>L0</x:v>
      </x:c>
    </x:row>
    <x:row r="17" ht="44" customHeight="1">
      <x:c r="A17" s="100" t="str">
        <x:v>IDX-013</x:v>
      </x:c>
      <x:c r="B17" s="100" t="str">
        <x:v>ALL</x:v>
      </x:c>
      <x:c r="C17" s="100" t="str">
        <x:v>中国第一历史档案馆《清实录》</x:v>
      </x:c>
      <x:c r="D17" s="100" t="str">
        <x:v>官修史料全文检索</x:v>
      </x:c>
      <x:c r="E17" s="100" t="str">
        <x:v>太祖至德宗各朝实录</x:v>
      </x:c>
      <x:c r="F17" s="100" t="str">
        <x:v>https://fhac.com.cn/fulltext_detail/2/359377</x:v>
      </x:c>
      <x:c r="G17" s="100" t="str">
        <x:v>逐年事件和原文定位</x:v>
      </x:c>
      <x:c r="H17" s="100" t="str">
        <x:v>必要短引文＋精确卷次＋原站链接；不镜像整库</x:v>
      </x:c>
      <x:c r="I17" s="100" t="str">
        <x:v>2026-08-12</x:v>
      </x:c>
      <x:c r="J17" s="100" t="str">
        <x:v>已打开</x:v>
      </x:c>
      <x:c r="K17" s="100" t="str">
        <x:v>L0</x:v>
      </x:c>
    </x:row>
    <x:row r="18" ht="44" customHeight="1">
      <x:c r="A18" s="100" t="str">
        <x:v>IDX-014</x:v>
      </x:c>
      <x:c r="B18" s="100" t="str">
        <x:v>ALL</x:v>
      </x:c>
      <x:c r="C18" s="100" t="str">
        <x:v>维基文库《清史稿》</x:v>
      </x:c>
      <x:c r="D18" s="100" t="str">
        <x:v>公版后出史书</x:v>
      </x:c>
      <x:c r="E18" s="100" t="str">
        <x:v>卷1–25 本纪；卷163 等皇子世表；卷214 后妃列传</x:v>
      </x:c>
      <x:c r="F18" s="100" t="str">
        <x:v>https://zh.wikisource.org/wiki/清史稿</x:v>
      </x:c>
      <x:c r="G18" s="100" t="str">
        <x:v>检索本纪表志列传入口</x:v>
      </x:c>
      <x:c r="H18" s="100" t="str">
        <x:v>按页面许可使用并保留来源；核心主张不得仅靠此书</x:v>
      </x:c>
      <x:c r="I18" s="100" t="str">
        <x:v>2026-08-17</x:v>
      </x:c>
      <x:c r="J18" s="100" t="str">
        <x:v>已打开</x:v>
      </x:c>
      <x:c r="K18" s="100" t="str">
        <x:v>L0</x:v>
      </x:c>
    </x:row>
    <x:row r="19" ht="44" customHeight="1">
      <x:c r="A19" s="100" t="str">
        <x:v>IDX-015</x:v>
      </x:c>
      <x:c r="B19" s="100" t="str">
        <x:v>ALL</x:v>
      </x:c>
      <x:c r="C19" s="100" t="str">
        <x:v>中国哲学书电子化计划《清史稿》</x:v>
      </x:c>
      <x:c r="D19" s="100" t="str">
        <x:v>数字文本与章节索引</x:v>
      </x:c>
      <x:c r="E19" s="100" t="str">
        <x:v>全书章节</x:v>
      </x:c>
      <x:c r="F19" s="100" t="str">
        <x:v>https://ctext.org/wiki.pl?if=gb&amp;res=98755</x:v>
      </x:c>
      <x:c r="G19" s="100" t="str">
        <x:v>章节定位与异文线索</x:v>
      </x:c>
      <x:c r="H19" s="100" t="str">
        <x:v>只作检索和交叉检查；回查具体版本</x:v>
      </x:c>
      <x:c r="I19" s="100" t="str">
        <x:v>2026-08-12</x:v>
      </x:c>
      <x:c r="J19" s="100" t="str">
        <x:v>已打开</x:v>
      </x:c>
      <x:c r="K19" s="100" t="str">
        <x:v>L0</x:v>
      </x:c>
    </x:row>
    <x:row r="20" ht="44" customHeight="1">
      <x:c r="A20" s="100" t="str">
        <x:v>IDX-016</x:v>
      </x:c>
      <x:c r="B20" s="100" t="str">
        <x:v>ALL</x:v>
      </x:c>
      <x:c r="C20" s="100" t="str">
        <x:v>Wikimedia Commons 清帝画像分类</x:v>
      </x:c>
      <x:c r="D20" s="100" t="str">
        <x:v>逐文件许可图像库</x:v>
      </x:c>
      <x:c r="E20" s="100" t="str">
        <x:v>清帝画像候选</x:v>
      </x:c>
      <x:c r="F20" s="100" t="str">
        <x:v>https://commons.wikimedia.org/wiki/Category:Emperors_of_the_Qing_Dynasty</x:v>
      </x:c>
      <x:c r="G20" s="100" t="str">
        <x:v>寻找可合法嵌入的代表画像</x:v>
      </x:c>
      <x:c r="H20" s="100" t="str">
        <x:v>逐文件核对许可证、来源与人物认定后才下载</x:v>
      </x:c>
      <x:c r="I20" s="100" t="str">
        <x:v>2026-08-17</x:v>
      </x:c>
      <x:c r="J20" s="100" t="str">
        <x:v>已打开</x:v>
      </x:c>
      <x:c r="K20" s="100" t="str">
        <x:v>L0</x:v>
      </x:c>
    </x:row>
    <x:row r="21" ht="44" customHeight="1">
      <x:c r="A21" s="100" t="str">
        <x:v>IDX-017</x:v>
      </x:c>
      <x:c r="B21" s="100" t="str">
        <x:v>QH-E-04</x:v>
      </x:c>
      <x:c r="C21" s="100" t="str">
        <x:v>《圣祖仁皇帝实录》卷1即位条</x:v>
      </x:c>
      <x:c r="D21" s="100" t="str">
        <x:v>官修史料逐日记录</x:v>
      </x:c>
      <x:c r="E21" s="100" t="str">
        <x:v>顺治十八年正月初九日第1/3条</x:v>
      </x:c>
      <x:c r="F21" s="100" t="str">
        <x:v>https://sillok.history.go.kr/mc/id/qsilok_005_0010_0010_0010_0030_0010</x:v>
      </x:c>
      <x:c r="G21" s="100" t="str">
        <x:v>康熙即位礼与次年改元</x:v>
      </x:c>
      <x:c r="H21" s="100" t="str">
        <x:v>必要短引文＋精确条目链接；不镜像整库</x:v>
      </x:c>
      <x:c r="I21" s="100" t="str">
        <x:v>2026-08-12</x:v>
      </x:c>
      <x:c r="J21" s="100" t="str">
        <x:v>已拆14条主张</x:v>
      </x:c>
      <x:c r="K21" s="100" t="str">
        <x:v>L3</x:v>
      </x:c>
    </x:row>
    <x:row r="22" ht="44" customHeight="1">
      <x:c r="A22" s="100" t="str">
        <x:v>IDX-018</x:v>
      </x:c>
      <x:c r="B22" s="100" t="str">
        <x:v>QH-E-04</x:v>
      </x:c>
      <x:c r="C22" s="100" t="str">
        <x:v>《圣祖仁皇帝实录》卷300遗诏条</x:v>
      </x:c>
      <x:c r="D22" s="100" t="str">
        <x:v>官修史料逐日记录</x:v>
      </x:c>
      <x:c r="E22" s="100" t="str">
        <x:v>康熙六十一年十一月十三日第2/2条</x:v>
      </x:c>
      <x:c r="F22" s="100" t="str">
        <x:v>https://sillok.history.go.kr/mc/id/qsilok_005_3000_0010_0010_0110_0020</x:v>
      </x:c>
      <x:c r="G22" s="100" t="str">
        <x:v>遗诏自述与胤禛继承条款</x:v>
      </x:c>
      <x:c r="H22" s="100" t="str">
        <x:v>必要短引文＋精确条目链接；争议另建冲突组</x:v>
      </x:c>
      <x:c r="I22" s="100" t="str">
        <x:v>2026-08-12</x:v>
      </x:c>
      <x:c r="J22" s="100" t="str">
        <x:v>已拆14条主张</x:v>
      </x:c>
      <x:c r="K22" s="100" t="str">
        <x:v>L3</x:v>
      </x:c>
    </x:row>
    <x:row r="23" ht="44" customHeight="1">
      <x:c r="A23" s="100" t="str">
        <x:v>IDX-019</x:v>
      </x:c>
      <x:c r="B23" s="100" t="str">
        <x:v>QH-E-04</x:v>
      </x:c>
      <x:c r="C23" s="100" t="str">
        <x:v>《圣祖仁皇帝实录》卷300崩逝条</x:v>
      </x:c>
      <x:c r="D23" s="100" t="str">
        <x:v>官修史料逐日记录</x:v>
      </x:c>
      <x:c r="E23" s="100" t="str">
        <x:v>康熙六十一年十一月十三日第1/2条</x:v>
      </x:c>
      <x:c r="F23" s="100" t="str">
        <x:v>https://sillok.history.go.kr/mc/id/qsilok_005_3000_0010_0010_0110_0010</x:v>
      </x:c>
      <x:c r="G23" s="100" t="str">
        <x:v>疾大渐、御榻口谕、在场人员与戌刻崩于寝宫</x:v>
      </x:c>
      <x:c r="H23" s="100" t="str">
        <x:v>必要短引文＋精确条目链接；不把寝宫改写成畅春园</x:v>
      </x:c>
      <x:c r="I23" s="100" t="str">
        <x:v>2026-08-13</x:v>
      </x:c>
      <x:c r="J23" s="100" t="str">
        <x:v>已拆10条主张</x:v>
      </x:c>
      <x:c r="K23" s="100" t="str">
        <x:v>L3</x:v>
      </x:c>
    </x:row>
    <x:row r="24" ht="44" customHeight="1">
      <x:c r="A24" s="100" t="str">
        <x:v>IDX-020</x:v>
      </x:c>
      <x:c r="B24" s="100" t="str">
        <x:v>QH-E-04</x:v>
      </x:c>
      <x:c r="C24" s="100" t="str">
        <x:v>《圣祖仁皇帝实录》卷234丁丑拘执条</x:v>
      </x:c>
      <x:c r="D24" s="100" t="str">
        <x:v>官修史料逐日记录</x:v>
      </x:c>
      <x:c r="E24" s="100" t="str">
        <x:v>康熙四十七年九月四日第1/2条</x:v>
      </x:c>
      <x:c r="F24" s="100" t="str">
        <x:v>https://sillok.history.go.kr/mc/id/qsilok_005_2340_0010_0010_0030_0010</x:v>
      </x:c>
      <x:c r="G24" s="100" t="str">
        <x:v>初废拘执长谕与即行拘执</x:v>
      </x:c>
      <x:c r="H24" s="100" t="str">
        <x:v>必要短引文＋精确条目链接；不把剋母写成已核事实</x:v>
      </x:c>
      <x:c r="I24" s="100" t="str">
        <x:v>2026-08-13</x:v>
      </x:c>
      <x:c r="J24" s="100" t="str">
        <x:v>已拆主张</x:v>
      </x:c>
      <x:c r="K24" s="100" t="str">
        <x:v>L3</x:v>
      </x:c>
    </x:row>
    <x:row r="25" ht="44" customHeight="1">
      <x:c r="A25" s="100" t="str">
        <x:v>IDX-021</x:v>
      </x:c>
      <x:c r="B25" s="100" t="str">
        <x:v>QH-E-04</x:v>
      </x:c>
      <x:c r="C25" s="100" t="str">
        <x:v>《圣祖仁皇帝实录》卷234丁酉颁诏条</x:v>
      </x:c>
      <x:c r="D25" s="100" t="str">
        <x:v>官修史料逐日记录</x:v>
      </x:c>
      <x:c r="E25" s="100" t="str">
        <x:v>康熙四十七年九月二十四日第1/2条</x:v>
      </x:c>
      <x:c r="F25" s="100" t="str">
        <x:v>https://sillok.history.go.kr/mc/id/qsilok_005_2340_0010_0010_0190_0010</x:v>
      </x:c>
      <x:c r="G25" s="100" t="str">
        <x:v>废太子颁诏；诏书自述九月十八日告祭</x:v>
      </x:c>
      <x:c r="H25" s="100" t="str">
        <x:v>必要短引文＋精确条目链接；十八日与丁酉分日</x:v>
      </x:c>
      <x:c r="I25" s="100" t="str">
        <x:v>2026-08-13</x:v>
      </x:c>
      <x:c r="J25" s="100" t="str">
        <x:v>已拆主张</x:v>
      </x:c>
      <x:c r="K25" s="100" t="str">
        <x:v>L3</x:v>
      </x:c>
    </x:row>
    <x:row r="26" ht="44" customHeight="1">
      <x:c r="A26" s="100" t="str">
        <x:v>IDX-022</x:v>
      </x:c>
      <x:c r="B26" s="100" t="str">
        <x:v>QH-E-04</x:v>
      </x:c>
      <x:c r="C26" s="100" t="str">
        <x:v>《圣祖仁皇帝实录》卷237辛巳复立条</x:v>
      </x:c>
      <x:c r="D26" s="100" t="str">
        <x:v>官修史料逐日记录</x:v>
      </x:c>
      <x:c r="E26" s="100" t="str">
        <x:v>康熙四十八年三月十日第1/3条</x:v>
      </x:c>
      <x:c r="F26" s="100" t="str">
        <x:v>https://sillok.history.go.kr/mc/id/qsilok_005_2370_0010_0010_0070_0010</x:v>
      </x:c>
      <x:c r="G26" s="100" t="str">
        <x:v>授册宝复立皇太子</x:v>
      </x:c>
      <x:c r="H26" s="100" t="str">
        <x:v>必要短引文＋精确条目链接；当日2/3、3/3未拆</x:v>
      </x:c>
      <x:c r="I26" s="100" t="str">
        <x:v>2026-08-13</x:v>
      </x:c>
      <x:c r="J26" s="100" t="str">
        <x:v>已拆主张</x:v>
      </x:c>
      <x:c r="K26" s="100" t="str">
        <x:v>L3</x:v>
      </x:c>
    </x:row>
    <x:row r="27" ht="44" customHeight="1">
      <x:c r="A27" s="100" t="str">
        <x:v>IDX-023</x:v>
      </x:c>
      <x:c r="B27" s="100" t="str">
        <x:v>QH-E-05</x:v>
      </x:c>
      <x:c r="C27" s="100" t="str">
        <x:v>《清史稿》卷9世宗本纪</x:v>
      </x:c>
      <x:c r="D27" s="100" t="str">
        <x:v>公版后出史书</x:v>
      </x:c>
      <x:c r="E27" s="100" t="str">
        <x:v>康熙六十一年十一月至雍正十三年八月相关条</x:v>
      </x:c>
      <x:c r="F27" s="100" t="str">
        <x:v>https://zh.wikisource.org/wiki/清史稿/卷9</x:v>
      </x:c>
      <x:c r="G27" s="100" t="str">
        <x:v>雍正即位、生母崩、密旨、年隆案、军机处起置、崩逝</x:v>
      </x:c>
      <x:c r="H27" s="100" t="str">
        <x:v>按页面许可使用短引文；核心主张不得仅靠此书；不作终审</x:v>
      </x:c>
      <x:c r="I27" s="100" t="str">
        <x:v>2026-08-17</x:v>
      </x:c>
      <x:c r="J27" s="100" t="str">
        <x:v>已拆主张</x:v>
      </x:c>
      <x:c r="K27" s="100" t="str">
        <x:v>L3</x:v>
      </x:c>
    </x:row>
    <x:row r="28" ht="44" customHeight="1">
      <x:c r="A28" s="100" t="str">
        <x:v>IDX-024</x:v>
      </x:c>
      <x:c r="B28" s="100" t="str">
        <x:v>QH-E-05</x:v>
      </x:c>
      <x:c r="C28" s="100" t="str">
        <x:v>《清史稿》卷295隆科多年羹尧传</x:v>
      </x:c>
      <x:c r="D28" s="100" t="str">
        <x:v>公版后出列传</x:v>
      </x:c>
      <x:c r="E28" s="100" t="str">
        <x:v>列传八十二</x:v>
      </x:c>
      <x:c r="F28" s="100" t="str">
        <x:v>https://zh.wikisource.org/wiki/清史稿/卷295</x:v>
      </x:c>
      <x:c r="G28" s="100" t="str">
        <x:v>顾命、禁锢地点、年羹尧自裁与本纪赐死对照</x:v>
      </x:c>
      <x:c r="H28" s="100" t="str">
        <x:v>按页面许可使用短引文；可与本纪矛盾</x:v>
      </x:c>
      <x:c r="I28" s="100" t="str">
        <x:v>2026-08-17</x:v>
      </x:c>
      <x:c r="J28" s="100" t="str">
        <x:v>已拆主张</x:v>
      </x:c>
      <x:c r="K28" s="100" t="str">
        <x:v>L3</x:v>
      </x:c>
    </x:row>
    <x:row r="29" ht="44" customHeight="1">
      <x:c r="A29" s="100" t="str">
        <x:v>IDX-025</x:v>
      </x:c>
      <x:c r="B29" s="100" t="str">
        <x:v>QH-E-05</x:v>
      </x:c>
      <x:c r="C29" s="100" t="str">
        <x:v>《大义觉迷录》</x:v>
      </x:c>
      <x:c r="D29" s="100" t="str">
        <x:v>官修论辩汇编</x:v>
      </x:c>
      <x:c r="E29" s="100" t="str">
        <x:v>全书</x:v>
      </x:c>
      <x:c r="F29" s="100" t="str">
        <x:v>https://zh.wikisource.org/wiki/大義覺迷錄</x:v>
      </x:c>
      <x:c r="G29" s="100" t="str">
        <x:v>改诏传说与即位自辩的来源登记</x:v>
      </x:c>
      <x:c r="H29" s="100" t="str">
        <x:v>只保存入口与元数据；未拆主张、不凭记忆引文</x:v>
      </x:c>
      <x:c r="I29" s="100" t="str">
        <x:v>2026-08-17</x:v>
      </x:c>
      <x:c r="J29" s="100" t="str">
        <x:v>已打开目录待拆</x:v>
      </x:c>
      <x:c r="K29" s="100" t="str">
        <x:v>L1</x:v>
      </x:c>
    </x:row>
    <x:row r="30" ht="44" customHeight="1">
      <x:c r="A30" s="100" t="str">
        <x:v>IDX-026</x:v>
      </x:c>
      <x:c r="B30" s="100" t="str">
        <x:v>QH-E-04</x:v>
      </x:c>
      <x:c r="C30" s="100" t="str">
        <x:v>《康熙字典》</x:v>
      </x:c>
      <x:c r="D30" s="100" t="str">
        <x:v>敕编工具书</x:v>
      </x:c>
      <x:c r="E30" s="100" t="str">
        <x:v>全书42卷</x:v>
      </x:c>
      <x:c r="F30" s="100" t="str">
        <x:v>https://zh.wikisource.org/wiki/康熙字典</x:v>
      </x:c>
      <x:c r="G30" s="100" t="str">
        <x:v>康熙朝文治与字书编纂</x:v>
      </x:c>
      <x:c r="H30" s="100" t="str">
        <x:v>公版可全文引用；逐条引用仍须保留页面版本与定位</x:v>
      </x:c>
      <x:c r="I30" s="100" t="str">
        <x:v>2026-08-17</x:v>
      </x:c>
      <x:c r="J30" s="100" t="str">
        <x:v>已打开入口</x:v>
      </x:c>
      <x:c r="K30" s="100" t="str">
        <x:v>L0</x:v>
      </x:c>
    </x:row>
    <x:row r="31" ht="44" customHeight="1">
      <x:c r="A31" s="100" t="str">
        <x:v>IDX-027</x:v>
      </x:c>
      <x:c r="B31" s="100" t="str">
        <x:v>QH-E-04</x:v>
      </x:c>
      <x:c r="C31" s="100" t="str">
        <x:v>《庭训格言》</x:v>
      </x:c>
      <x:c r="D31" s="100" t="str">
        <x:v>御制语录</x:v>
      </x:c>
      <x:c r="E31" s="100" t="str">
        <x:v>全书1卷</x:v>
      </x:c>
      <x:c r="F31" s="100" t="str">
        <x:v>https://zh.wikisource.org/wiki/庭訓格言_(四庫全書本)</x:v>
      </x:c>
      <x:c r="G31" s="100" t="str">
        <x:v>康熙日常训诲的后出汇编记录</x:v>
      </x:c>
      <x:c r="H31" s="100" t="str">
        <x:v>公版文本可引用；须注明雍正八年追录层与四库本层</x:v>
      </x:c>
      <x:c r="I31" s="100" t="str">
        <x:v>2026-08-17</x:v>
      </x:c>
      <x:c r="J31" s="100" t="str">
        <x:v>已打开入口</x:v>
      </x:c>
      <x:c r="K31" s="100" t="str">
        <x:v>L0</x:v>
      </x:c>
    </x:row>
    <x:row r="32" ht="44" customHeight="1">
      <x:c r="A32" s="100" t="str">
        <x:v>IDX-028</x:v>
      </x:c>
      <x:c r="B32" s="100" t="str">
        <x:v>QH-E-05</x:v>
      </x:c>
      <x:c r="C32" s="100" t="str">
        <x:v>《朱批谕旨》</x:v>
      </x:c>
      <x:c r="D32" s="100" t="str">
        <x:v>谕旨汇编</x:v>
      </x:c>
      <x:c r="E32" s="100" t="str">
        <x:v>选刻本360卷</x:v>
      </x:c>
      <x:c r="F32" s="100" t="str">
        <x:v>https://qingarchives.npm.edu.tw/index.php?act=Landing%2Finformation</x:v>
      </x:c>
      <x:c r="G32" s="100" t="str">
        <x:v>雍正朝行政风格与决策过程</x:v>
      </x:c>
      <x:c r="H32" s="100" t="str">
        <x:v>刻本与台北故宫原折的差异待核</x:v>
      </x:c>
      <x:c r="I32" s="100" t="str">
        <x:v>2026-08-14</x:v>
      </x:c>
      <x:c r="J32" s="100" t="str">
        <x:v>已打开入口待拆</x:v>
      </x:c>
      <x:c r="K32" s="100" t="str">
        <x:v>L0</x:v>
      </x:c>
    </x:row>
    <x:row r="33" ht="44" customHeight="1">
      <x:c r="A33" s="100" t="str">
        <x:v>IDX-029</x:v>
      </x:c>
      <x:c r="B33" s="100" t="str">
        <x:v>QH-E-05</x:v>
      </x:c>
      <x:c r="C33" s="100" t="str">
        <x:v>《圣谕广训》</x:v>
      </x:c>
      <x:c r="D33" s="100" t="str">
        <x:v>御制教化文本</x:v>
      </x:c>
      <x:c r="E33" s="100" t="str">
        <x:v>全书1卷</x:v>
      </x:c>
      <x:c r="F33" s="100" t="str">
        <x:v>https://zh.wikisource.org/wiki/聖諭廣訓_(四庫全書本)</x:v>
      </x:c>
      <x:c r="G33" s="100" t="str">
        <x:v>清代基层教化制度</x:v>
      </x:c>
      <x:c r="H33" s="100" t="str">
        <x:v>公版文本可引用；逐条保留篇目与页面版本</x:v>
      </x:c>
      <x:c r="I33" s="100" t="str">
        <x:v>2026-08-17</x:v>
      </x:c>
      <x:c r="J33" s="100" t="str">
        <x:v>已打开入口</x:v>
      </x:c>
      <x:c r="K33" s="100" t="str">
        <x:v>L0</x:v>
      </x:c>
    </x:row>
    <x:row r="34" ht="44" customHeight="1">
      <x:c r="A34" s="100" t="str">
        <x:v>IDX-030</x:v>
      </x:c>
      <x:c r="B34" s="100" t="str">
        <x:v>QH-E-06</x:v>
      </x:c>
      <x:c r="C34" s="100" t="str">
        <x:v>《四库全书总目提要》</x:v>
      </x:c>
      <x:c r="D34" s="100" t="str">
        <x:v>敕编目录学著作</x:v>
      </x:c>
      <x:c r="E34" s="100" t="str">
        <x:v>全书200卷</x:v>
      </x:c>
      <x:c r="F34" s="100" t="str">
        <x:v>https://zh.wikisource.org/wiki/四庫全書總目提要</x:v>
      </x:c>
      <x:c r="G34" s="100" t="str">
        <x:v>乾隆朝文治与学术总结</x:v>
      </x:c>
      <x:c r="H34" s="100" t="str">
        <x:v>公版文本可引用；逐条保留卷次与页面版本</x:v>
      </x:c>
      <x:c r="I34" s="100" t="str">
        <x:v>2026-08-17</x:v>
      </x:c>
      <x:c r="J34" s="100" t="str">
        <x:v>已打开入口</x:v>
      </x:c>
      <x:c r="K34" s="100" t="str">
        <x:v>L0</x:v>
      </x:c>
    </x:row>
    <x:row r="35" ht="44" customHeight="1">
      <x:c r="A35" s="100" t="str">
        <x:v>IDX-031</x:v>
      </x:c>
      <x:c r="B35" s="100" t="str">
        <x:v>QH-E-06</x:v>
      </x:c>
      <x:c r="C35" s="100" t="str">
        <x:v>《御制诗集》</x:v>
      </x:c>
      <x:c r="D35" s="100" t="str">
        <x:v>御制诗集</x:v>
      </x:c>
      <x:c r="E35" s="100" t="str">
        <x:v>454卷</x:v>
      </x:c>
      <x:c r="F35" s="100" t="str">
        <x:v>https://zh.wikisource.org/wiki/御製詩_(四庫全書本)</x:v>
      </x:c>
      <x:c r="G35" s="100" t="str">
        <x:v>乾隆个人思想与政事记述</x:v>
      </x:c>
      <x:c r="H35" s="100" t="str">
        <x:v>维基文库所收四库本为免费入口；数量庞大，须按集次卷次篇目引用</x:v>
      </x:c>
      <x:c r="I35" s="100" t="str">
        <x:v>2026-08-17</x:v>
      </x:c>
      <x:c r="J35" s="100" t="str">
        <x:v>已打开入口待拆</x:v>
      </x:c>
      <x:c r="K35" s="100" t="str">
        <x:v>L0</x:v>
      </x:c>
    </x:row>
    <x:row r="36" ht="44" customHeight="1">
      <x:c r="A36" s="100" t="str">
        <x:v>IDX-032</x:v>
      </x:c>
      <x:c r="B36" s="100" t="str">
        <x:v>QH-E-03</x:v>
      </x:c>
      <x:c r="C36" s="100" t="str">
        <x:v>《御制资政要览》</x:v>
      </x:c>
      <x:c r="D36" s="100" t="str">
        <x:v>御制政论</x:v>
      </x:c>
      <x:c r="E36" s="100" t="str">
        <x:v>全书3卷</x:v>
      </x:c>
      <x:c r="F36" s="100" t="str">
        <x:v>https://zh.wikisource.org/wiki/御定資政要覽_(四庫全書本)/全覽</x:v>
      </x:c>
      <x:c r="G36" s="100" t="str">
        <x:v>顺治汉学修养与治国理念</x:v>
      </x:c>
      <x:c r="H36" s="100" t="str">
        <x:v>维基文库四库本为免费入口；须注明后出四库本层</x:v>
      </x:c>
      <x:c r="I36" s="100" t="str">
        <x:v>2026-08-17</x:v>
      </x:c>
      <x:c r="J36" s="100" t="str">
        <x:v>已打开入口</x:v>
      </x:c>
      <x:c r="K36" s="100" t="str">
        <x:v>L0</x:v>
      </x:c>
    </x:row>
    <x:row r="37" ht="44" customHeight="1">
      <x:c r="A37" s="100" t="str">
        <x:v>IDX-033</x:v>
      </x:c>
      <x:c r="B37" s="100" t="str">
        <x:v>QH-E-01</x:v>
      </x:c>
      <x:c r="C37" s="100" t="str">
        <x:v>《满洲实录》</x:v>
      </x:c>
      <x:c r="D37" s="100" t="str">
        <x:v>实录/图说</x:v>
      </x:c>
      <x:c r="E37" s="100" t="str">
        <x:v>全书8卷</x:v>
      </x:c>
      <x:c r="F37" s="100" t="str">
        <x:v>https://sillok.history.go.kr/mc/id/qsilok_001</x:v>
      </x:c>
      <x:c r="G37" s="100" t="str">
        <x:v>满族起源叙事与图像层</x:v>
      </x:c>
      <x:c r="H37" s="100" t="str">
        <x:v>满蒙汉三体合璧</x:v>
      </x:c>
      <x:c r="I37" s="100" t="str">
        <x:v>2026-08-14</x:v>
      </x:c>
      <x:c r="J37" s="100" t="str">
        <x:v>已打开入口待拆</x:v>
      </x:c>
      <x:c r="K37" s="100" t="str">
        <x:v>L0</x:v>
      </x:c>
    </x:row>
    <x:row r="38" ht="44" customHeight="1">
      <x:c r="A38" s="100" t="str">
        <x:v>IDX-034</x:v>
      </x:c>
      <x:c r="B38" s="100" t="str">
        <x:v>ALL</x:v>
      </x:c>
      <x:c r="C38" s="100" t="str">
        <x:v>明清实录站（韩国国史编纂委员会）</x:v>
      </x:c>
      <x:c r="D38" s="100" t="str">
        <x:v>实录全文检索</x:v>
      </x:c>
      <x:c r="E38" s="100" t="str">
        <x:v>太祖至德宗各朝实录</x:v>
      </x:c>
      <x:c r="F38" s="100" t="str">
        <x:v>https://sillok.history.go.kr/mc/qing</x:v>
      </x:c>
      <x:c r="G38" s="100" t="str">
        <x:v>逐条原文定位</x:v>
      </x:c>
      <x:c r="H38" s="100" t="str">
        <x:v>必要短引文＋精确条目链接；注意写本与排印本差异</x:v>
      </x:c>
      <x:c r="I38" s="100" t="str">
        <x:v>2026-08-14</x:v>
      </x:c>
      <x:c r="J38" s="100" t="str">
        <x:v>已打开</x:v>
      </x:c>
      <x:c r="K38" s="100" t="str">
        <x:v>L0</x:v>
      </x:c>
    </x:row>
    <x:row r="39" ht="44" customHeight="1">
      <x:c r="A39" s="100" t="str">
        <x:v>IDX-035</x:v>
      </x:c>
      <x:c r="B39" s="100" t="str">
        <x:v>QH-E-04</x:v>
      </x:c>
      <x:c r="C39" s="100" t="str">
        <x:v>《古今图书集成》</x:v>
      </x:c>
      <x:c r="D39" s="100" t="str">
        <x:v>敕编类书</x:v>
      </x:c>
      <x:c r="E39" s="100" t="str">
        <x:v>10000卷</x:v>
      </x:c>
      <x:c r="F39" s="100" t="str">
        <x:v>https://zh.wikisource.org/wiki/古今圖書集成</x:v>
      </x:c>
      <x:c r="G39" s="100" t="str">
        <x:v>跨康雍两朝的大型文化工程</x:v>
      </x:c>
      <x:c r="H39" s="100" t="str">
        <x:v>维基文库分部卷入口可免费阅读；逐条引用须保留汇编典部卷层级</x:v>
      </x:c>
      <x:c r="I39" s="100" t="str">
        <x:v>2026-08-17</x:v>
      </x:c>
      <x:c r="J39" s="100" t="str">
        <x:v>已打开入口</x:v>
      </x:c>
      <x:c r="K39" s="100" t="str">
        <x:v>L0</x:v>
      </x:c>
    </x:row>
    <x:row r="40" ht="44" customHeight="1">
      <x:c r="A40" s="100" t="str">
        <x:v>IDX-036</x:v>
      </x:c>
      <x:c r="B40" s="100" t="str">
        <x:v>QH-E-06</x:v>
      </x:c>
      <x:c r="C40" s="100" t="str">
        <x:v>《四库全书》</x:v>
      </x:c>
      <x:c r="D40" s="100" t="str">
        <x:v>敕编丛书</x:v>
      </x:c>
      <x:c r="E40" s="100" t="str">
        <x:v>79337卷</x:v>
      </x:c>
      <x:c r="F40" s="100" t="str">
        <x:v>https://zh.wikisource.org/wiki/四庫全書</x:v>
      </x:c>
      <x:c r="G40" s="100" t="str">
        <x:v>乾隆朝文治与禁毁的双重标志</x:v>
      </x:c>
      <x:c r="H40" s="100" t="str">
        <x:v>维基文库分经史子集提供公版入口；仍须注意禁毁、改纂与具体底本层</x:v>
      </x:c>
      <x:c r="I40" s="100" t="str">
        <x:v>2026-08-17</x:v>
      </x:c>
      <x:c r="J40" s="100" t="str">
        <x:v>已打开入口待拆</x:v>
      </x:c>
      <x:c r="K40" s="100" t="str">
        <x:v>L0</x:v>
      </x:c>
    </x:row>
    <x:row r="41" ht="44" customHeight="1">
      <x:c r="A41" s="100" t="str">
        <x:v>IDX-037</x:v>
      </x:c>
      <x:c r="B41" s="100" t="str">
        <x:v>QH-E-05</x:v>
      </x:c>
      <x:c r="C41" s="100" t="str">
        <x:v>《世宗宪皇帝御制文集》</x:v>
      </x:c>
      <x:c r="D41" s="100" t="str">
        <x:v>御制文集</x:v>
      </x:c>
      <x:c r="E41" s="100" t="str">
        <x:v>30卷</x:v>
      </x:c>
      <x:c r="F41" s="100" t="str">
        <x:v>https://zh.wikisource.org/wiki/世宗憲皇帝御製文集_(四庫全書本)</x:v>
      </x:c>
      <x:c r="G41" s="100" t="str">
        <x:v>雍正思想与文采的御制文本</x:v>
      </x:c>
      <x:c r="H41" s="100" t="str">
        <x:v>维基文库四库本为免费入口；须按卷篇定位并标注编纂版本</x:v>
      </x:c>
      <x:c r="I41" s="100" t="str">
        <x:v>2026-08-17</x:v>
      </x:c>
      <x:c r="J41" s="100" t="str">
        <x:v>已打开入口</x:v>
      </x:c>
      <x:c r="K41" s="100" t="str">
        <x:v>L0</x:v>
      </x:c>
    </x:row>
    <x:row r="42" ht="44" customHeight="1">
      <x:c r="A42" s="100" t="str">
        <x:v>IDX-038</x:v>
      </x:c>
      <x:c r="B42" s="100" t="str">
        <x:v>QH-E-04</x:v>
      </x:c>
      <x:c r="C42" s="100" t="str">
        <x:v>《圣祖仁皇帝御制文集》</x:v>
      </x:c>
      <x:c r="D42" s="100" t="str">
        <x:v>御制文集</x:v>
      </x:c>
      <x:c r="E42" s="100" t="str">
        <x:v>176卷(四集)</x:v>
      </x:c>
      <x:c r="F42" s="100" t="str">
        <x:v>https://zh.wikisource.org/wiki/聖祖仁皇帝御製文集_(四庫全書本)</x:v>
      </x:c>
      <x:c r="G42" s="100" t="str">
        <x:v>康熙思想与文治的御制文本</x:v>
      </x:c>
      <x:c r="H42" s="100" t="str">
        <x:v>维基文库四库本为免费入口；须按集次卷篇定位并标注编纂版本</x:v>
      </x:c>
      <x:c r="I42" s="100" t="str">
        <x:v>2026-08-17</x:v>
      </x:c>
      <x:c r="J42" s="100" t="str">
        <x:v>已打开入口</x:v>
      </x:c>
      <x:c r="K42" s="100" t="str">
        <x:v>L0</x:v>
      </x:c>
    </x:row>
    <x:row r="43" ht="44" customHeight="1">
      <x:c r="A43" s="100" t="str">
        <x:v>IDX-039</x:v>
      </x:c>
      <x:c r="B43" s="100" t="str">
        <x:v>QH-E-04</x:v>
      </x:c>
      <x:c r="C43" s="100" t="str">
        <x:v>《康熙起居注》出版本入口</x:v>
      </x:c>
      <x:c r="D43" s="100" t="str">
        <x:v>起居注目录/出版本</x:v>
      </x:c>
      <x:c r="E43" s="100" t="str">
        <x:v>版本与卷册待核</x:v>
      </x:c>
      <x:c r="F43" s="100" t="str">
        <x:v>https://fhac.com.cn/consult.html</x:v>
      </x:c>
      <x:c r="G43" s="100" t="str">
        <x:v>登记公开入口；未打开逐日原文</x:v>
      </x:c>
      <x:c r="H43" s="100" t="str">
        <x:v>只保存入口与元数据；不镜像、不拆主张</x:v>
      </x:c>
      <x:c r="I43" s="100" t="str">
        <x:v>2026-08-16</x:v>
      </x:c>
      <x:c r="J43" s="100" t="str">
        <x:v>入口已登记未拆</x:v>
      </x:c>
      <x:c r="K43" s="100" t="str">
        <x:v>L0</x:v>
      </x:c>
    </x:row>
    <x:row r="44" ht="44" customHeight="1">
      <x:c r="A44" s="100" t="str">
        <x:v>IDX-040</x:v>
      </x:c>
      <x:c r="B44" s="100" t="str">
        <x:v>QH-E-04</x:v>
      </x:c>
      <x:c r="C44" s="100" t="str">
        <x:v>《圣祖仁皇帝实录》卷56六月癸亥择吉条</x:v>
      </x:c>
      <x:c r="D44" s="100" t="str">
        <x:v>官修史料逐日记录</x:v>
      </x:c>
      <x:c r="E44" s="100" t="str">
        <x:v>康熙十四年六月六日第1/3条</x:v>
      </x:c>
      <x:c r="F44" s="100" t="str">
        <x:v>https://sillok.history.go.kr/mc/id/qsilok_005_0560_0010_0010_0050_0010</x:v>
      </x:c>
      <x:c r="G44" s="100" t="str">
        <x:v>谕礼部择吉立太子；不是册立当日</x:v>
      </x:c>
      <x:c r="H44" s="100" t="str">
        <x:v>必要短引文＋精确条目链接；不镜像整库</x:v>
      </x:c>
      <x:c r="I44" s="100" t="str">
        <x:v>2026-08-16</x:v>
      </x:c>
      <x:c r="J44" s="100" t="str">
        <x:v>已拆主张</x:v>
      </x:c>
      <x:c r="K44" s="100" t="str">
        <x:v>L3</x:v>
      </x:c>
    </x:row>
    <x:row r="45" ht="44" customHeight="1">
      <x:c r="A45" s="100" t="str">
        <x:v>IDX-041</x:v>
      </x:c>
      <x:c r="B45" s="100" t="str">
        <x:v>QH-E-01</x:v>
      </x:c>
      <x:c r="C45" s="100" t="str">
        <x:v>《清史稿》卷1本纪</x:v>
      </x:c>
      <x:c r="D45" s="100" t="str">
        <x:v>公版后出史书</x:v>
      </x:c>
      <x:c r="E45" s="100" t="str">
        <x:v>卷1</x:v>
      </x:c>
      <x:c r="F45" s="100" t="str">
        <x:v>https://zh.wikisource.org/wiki/清史稿/卷1</x:v>
      </x:c>
      <x:c r="G45" s="100" t="str">
        <x:v>统治年表卷级索引；具体事件须再钉条次</x:v>
      </x:c>
      <x:c r="H45" s="100" t="str">
        <x:v>只保存必要短引文、定位与链接，不把后出本纪当终审</x:v>
      </x:c>
      <x:c r="I45" s="100" t="str">
        <x:v>2026-08-17</x:v>
      </x:c>
      <x:c r="J45" s="100" t="str">
        <x:v>卷级索引已登记</x:v>
      </x:c>
      <x:c r="K45" s="100" t="str">
        <x:v>L0</x:v>
      </x:c>
    </x:row>
    <x:row r="46" ht="44" customHeight="1">
      <x:c r="A46" s="100" t="str">
        <x:v>IDX-042</x:v>
      </x:c>
      <x:c r="B46" s="100" t="str">
        <x:v>QH-E-02</x:v>
      </x:c>
      <x:c r="C46" s="100" t="str">
        <x:v>《清史稿》卷2—3本纪</x:v>
      </x:c>
      <x:c r="D46" s="100" t="str">
        <x:v>公版后出史书</x:v>
      </x:c>
      <x:c r="E46" s="100" t="str">
        <x:v>卷2—3</x:v>
      </x:c>
      <x:c r="F46" s="100" t="str">
        <x:v>https://zh.wikisource.org/wiki/清史稿/卷2</x:v>
      </x:c>
      <x:c r="G46" s="100" t="str">
        <x:v>统治年表卷级索引；具体事件须再钉条次</x:v>
      </x:c>
      <x:c r="H46" s="100" t="str">
        <x:v>只保存必要短引文、定位与链接，不把后出本纪当终审</x:v>
      </x:c>
      <x:c r="I46" s="100" t="str">
        <x:v>2026-08-17</x:v>
      </x:c>
      <x:c r="J46" s="100" t="str">
        <x:v>卷级索引已登记</x:v>
      </x:c>
      <x:c r="K46" s="100" t="str">
        <x:v>L0</x:v>
      </x:c>
    </x:row>
    <x:row r="47" ht="44" customHeight="1">
      <x:c r="A47" s="100" t="str">
        <x:v>IDX-043</x:v>
      </x:c>
      <x:c r="B47" s="100" t="str">
        <x:v>QH-E-03</x:v>
      </x:c>
      <x:c r="C47" s="100" t="str">
        <x:v>《清史稿》卷4—5本纪</x:v>
      </x:c>
      <x:c r="D47" s="100" t="str">
        <x:v>公版后出史书</x:v>
      </x:c>
      <x:c r="E47" s="100" t="str">
        <x:v>卷4—5</x:v>
      </x:c>
      <x:c r="F47" s="100" t="str">
        <x:v>https://zh.wikisource.org/wiki/清史稿/卷4</x:v>
      </x:c>
      <x:c r="G47" s="100" t="str">
        <x:v>统治年表卷级索引；具体事件须再钉条次</x:v>
      </x:c>
      <x:c r="H47" s="100" t="str">
        <x:v>只保存必要短引文、定位与链接，不把后出本纪当终审</x:v>
      </x:c>
      <x:c r="I47" s="100" t="str">
        <x:v>2026-08-17</x:v>
      </x:c>
      <x:c r="J47" s="100" t="str">
        <x:v>卷级索引已登记</x:v>
      </x:c>
      <x:c r="K47" s="100" t="str">
        <x:v>L0</x:v>
      </x:c>
    </x:row>
    <x:row r="48" ht="44" customHeight="1">
      <x:c r="A48" s="100" t="str">
        <x:v>IDX-044</x:v>
      </x:c>
      <x:c r="B48" s="100" t="str">
        <x:v>QH-E-04</x:v>
      </x:c>
      <x:c r="C48" s="100" t="str">
        <x:v>《清史稿》卷6—8本纪</x:v>
      </x:c>
      <x:c r="D48" s="100" t="str">
        <x:v>公版后出史书</x:v>
      </x:c>
      <x:c r="E48" s="100" t="str">
        <x:v>卷6—8</x:v>
      </x:c>
      <x:c r="F48" s="100" t="str">
        <x:v>https://zh.wikisource.org/wiki/清史稿/卷6</x:v>
      </x:c>
      <x:c r="G48" s="100" t="str">
        <x:v>统治年表卷级索引；具体事件须再钉条次</x:v>
      </x:c>
      <x:c r="H48" s="100" t="str">
        <x:v>只保存必要短引文、定位与链接，不把后出本纪当终审</x:v>
      </x:c>
      <x:c r="I48" s="100" t="str">
        <x:v>2026-08-17</x:v>
      </x:c>
      <x:c r="J48" s="100" t="str">
        <x:v>卷级索引已登记</x:v>
      </x:c>
      <x:c r="K48" s="100" t="str">
        <x:v>L0</x:v>
      </x:c>
    </x:row>
    <x:row r="49" ht="44" customHeight="1">
      <x:c r="A49" s="100" t="str">
        <x:v>IDX-045</x:v>
      </x:c>
      <x:c r="B49" s="100" t="str">
        <x:v>QH-E-05</x:v>
      </x:c>
      <x:c r="C49" s="100" t="str">
        <x:v>《清史稿》卷9本纪</x:v>
      </x:c>
      <x:c r="D49" s="100" t="str">
        <x:v>公版后出史书</x:v>
      </x:c>
      <x:c r="E49" s="100" t="str">
        <x:v>卷9</x:v>
      </x:c>
      <x:c r="F49" s="100" t="str">
        <x:v>https://zh.wikisource.org/wiki/清史稿/卷9</x:v>
      </x:c>
      <x:c r="G49" s="100" t="str">
        <x:v>统治年表卷级索引；具体事件须再钉条次</x:v>
      </x:c>
      <x:c r="H49" s="100" t="str">
        <x:v>只保存必要短引文、定位与链接，不把后出本纪当终审</x:v>
      </x:c>
      <x:c r="I49" s="100" t="str">
        <x:v>2026-08-17</x:v>
      </x:c>
      <x:c r="J49" s="100" t="str">
        <x:v>卷级索引已登记</x:v>
      </x:c>
      <x:c r="K49" s="100" t="str">
        <x:v>L0</x:v>
      </x:c>
    </x:row>
    <x:row r="50" ht="44" customHeight="1">
      <x:c r="A50" s="100" t="str">
        <x:v>IDX-046</x:v>
      </x:c>
      <x:c r="B50" s="100" t="str">
        <x:v>QH-E-06</x:v>
      </x:c>
      <x:c r="C50" s="100" t="str">
        <x:v>《清史稿》卷10—15本纪</x:v>
      </x:c>
      <x:c r="D50" s="100" t="str">
        <x:v>公版后出史书</x:v>
      </x:c>
      <x:c r="E50" s="100" t="str">
        <x:v>卷10—15</x:v>
      </x:c>
      <x:c r="F50" s="100" t="str">
        <x:v>https://zh.wikisource.org/wiki/清史稿/卷10</x:v>
      </x:c>
      <x:c r="G50" s="100" t="str">
        <x:v>统治年表卷级索引；具体事件须再钉条次</x:v>
      </x:c>
      <x:c r="H50" s="100" t="str">
        <x:v>只保存必要短引文、定位与链接，不把后出本纪当终审</x:v>
      </x:c>
      <x:c r="I50" s="100" t="str">
        <x:v>2026-08-17</x:v>
      </x:c>
      <x:c r="J50" s="100" t="str">
        <x:v>卷级索引已登记</x:v>
      </x:c>
      <x:c r="K50" s="100" t="str">
        <x:v>L0</x:v>
      </x:c>
    </x:row>
    <x:row r="51" ht="44" customHeight="1">
      <x:c r="A51" s="100" t="str">
        <x:v>IDX-047</x:v>
      </x:c>
      <x:c r="B51" s="100" t="str">
        <x:v>QH-E-07</x:v>
      </x:c>
      <x:c r="C51" s="100" t="str">
        <x:v>《清史稿》卷16本纪</x:v>
      </x:c>
      <x:c r="D51" s="100" t="str">
        <x:v>公版后出史书</x:v>
      </x:c>
      <x:c r="E51" s="100" t="str">
        <x:v>卷16</x:v>
      </x:c>
      <x:c r="F51" s="100" t="str">
        <x:v>https://zh.wikisource.org/wiki/清史稿/卷16</x:v>
      </x:c>
      <x:c r="G51" s="100" t="str">
        <x:v>统治年表卷级索引；具体事件须再钉条次</x:v>
      </x:c>
      <x:c r="H51" s="100" t="str">
        <x:v>只保存必要短引文、定位与链接，不把后出本纪当终审</x:v>
      </x:c>
      <x:c r="I51" s="100" t="str">
        <x:v>2026-08-17</x:v>
      </x:c>
      <x:c r="J51" s="100" t="str">
        <x:v>卷级索引已登记</x:v>
      </x:c>
      <x:c r="K51" s="100" t="str">
        <x:v>L0</x:v>
      </x:c>
    </x:row>
    <x:row r="52" ht="44" customHeight="1">
      <x:c r="A52" s="100" t="str">
        <x:v>IDX-048</x:v>
      </x:c>
      <x:c r="B52" s="100" t="str">
        <x:v>QH-E-08</x:v>
      </x:c>
      <x:c r="C52" s="100" t="str">
        <x:v>《清史稿》卷17—19本纪</x:v>
      </x:c>
      <x:c r="D52" s="100" t="str">
        <x:v>公版后出史书</x:v>
      </x:c>
      <x:c r="E52" s="100" t="str">
        <x:v>卷17—19</x:v>
      </x:c>
      <x:c r="F52" s="100" t="str">
        <x:v>https://zh.wikisource.org/wiki/清史稿/卷17</x:v>
      </x:c>
      <x:c r="G52" s="100" t="str">
        <x:v>统治年表卷级索引；具体事件须再钉条次</x:v>
      </x:c>
      <x:c r="H52" s="100" t="str">
        <x:v>只保存必要短引文、定位与链接，不把后出本纪当终审</x:v>
      </x:c>
      <x:c r="I52" s="100" t="str">
        <x:v>2026-08-17</x:v>
      </x:c>
      <x:c r="J52" s="100" t="str">
        <x:v>卷级索引已登记</x:v>
      </x:c>
      <x:c r="K52" s="100" t="str">
        <x:v>L0</x:v>
      </x:c>
    </x:row>
    <x:row r="53" ht="44" customHeight="1">
      <x:c r="A53" s="100" t="str">
        <x:v>IDX-049</x:v>
      </x:c>
      <x:c r="B53" s="100" t="str">
        <x:v>QH-E-09</x:v>
      </x:c>
      <x:c r="C53" s="100" t="str">
        <x:v>《清史稿》卷20本纪</x:v>
      </x:c>
      <x:c r="D53" s="100" t="str">
        <x:v>公版后出史书</x:v>
      </x:c>
      <x:c r="E53" s="100" t="str">
        <x:v>卷20</x:v>
      </x:c>
      <x:c r="F53" s="100" t="str">
        <x:v>https://zh.wikisource.org/wiki/清史稿/卷20</x:v>
      </x:c>
      <x:c r="G53" s="100" t="str">
        <x:v>统治年表卷级索引；具体事件须再钉条次</x:v>
      </x:c>
      <x:c r="H53" s="100" t="str">
        <x:v>只保存必要短引文、定位与链接，不把后出本纪当终审</x:v>
      </x:c>
      <x:c r="I53" s="100" t="str">
        <x:v>2026-08-17</x:v>
      </x:c>
      <x:c r="J53" s="100" t="str">
        <x:v>卷级索引已登记</x:v>
      </x:c>
      <x:c r="K53" s="100" t="str">
        <x:v>L0</x:v>
      </x:c>
    </x:row>
    <x:row r="54" ht="44" customHeight="1">
      <x:c r="A54" s="100" t="str">
        <x:v>IDX-050</x:v>
      </x:c>
      <x:c r="B54" s="100" t="str">
        <x:v>QH-E-10</x:v>
      </x:c>
      <x:c r="C54" s="100" t="str">
        <x:v>《清史稿》卷21—22本纪</x:v>
      </x:c>
      <x:c r="D54" s="100" t="str">
        <x:v>公版后出史书</x:v>
      </x:c>
      <x:c r="E54" s="100" t="str">
        <x:v>卷21—22</x:v>
      </x:c>
      <x:c r="F54" s="100" t="str">
        <x:v>https://zh.wikisource.org/wiki/清史稿/卷21</x:v>
      </x:c>
      <x:c r="G54" s="100" t="str">
        <x:v>统治年表卷级索引；具体事件须再钉条次</x:v>
      </x:c>
      <x:c r="H54" s="100" t="str">
        <x:v>只保存必要短引文、定位与链接，不把后出本纪当终审</x:v>
      </x:c>
      <x:c r="I54" s="100" t="str">
        <x:v>2026-08-17</x:v>
      </x:c>
      <x:c r="J54" s="100" t="str">
        <x:v>卷级索引已登记</x:v>
      </x:c>
      <x:c r="K54" s="100" t="str">
        <x:v>L0</x:v>
      </x:c>
    </x:row>
    <x:row r="55" ht="44" customHeight="1">
      <x:c r="A55" s="100" t="str">
        <x:v>IDX-051</x:v>
      </x:c>
      <x:c r="B55" s="100" t="str">
        <x:v>QH-E-11</x:v>
      </x:c>
      <x:c r="C55" s="100" t="str">
        <x:v>《清史稿》卷23—24本纪</x:v>
      </x:c>
      <x:c r="D55" s="100" t="str">
        <x:v>公版后出史书</x:v>
      </x:c>
      <x:c r="E55" s="100" t="str">
        <x:v>卷23—24</x:v>
      </x:c>
      <x:c r="F55" s="100" t="str">
        <x:v>https://zh.wikisource.org/wiki/清史稿/卷23</x:v>
      </x:c>
      <x:c r="G55" s="100" t="str">
        <x:v>统治年表卷级索引；具体事件须再钉条次</x:v>
      </x:c>
      <x:c r="H55" s="100" t="str">
        <x:v>只保存必要短引文、定位与链接，不把后出本纪当终审</x:v>
      </x:c>
      <x:c r="I55" s="100" t="str">
        <x:v>2026-08-17</x:v>
      </x:c>
      <x:c r="J55" s="100" t="str">
        <x:v>卷级索引已登记</x:v>
      </x:c>
      <x:c r="K55" s="100" t="str">
        <x:v>L0</x:v>
      </x:c>
    </x:row>
    <x:row r="56" ht="44" customHeight="1">
      <x:c r="A56" s="100" t="str">
        <x:v>IDX-052</x:v>
      </x:c>
      <x:c r="B56" s="100" t="str">
        <x:v>QH-E-12</x:v>
      </x:c>
      <x:c r="C56" s="100" t="str">
        <x:v>《清史稿》卷25本纪</x:v>
      </x:c>
      <x:c r="D56" s="100" t="str">
        <x:v>公版后出史书</x:v>
      </x:c>
      <x:c r="E56" s="100" t="str">
        <x:v>卷25</x:v>
      </x:c>
      <x:c r="F56" s="100" t="str">
        <x:v>https://zh.wikisource.org/wiki/清史稿/卷25</x:v>
      </x:c>
      <x:c r="G56" s="100" t="str">
        <x:v>统治年表卷级索引；具体事件须再钉条次</x:v>
      </x:c>
      <x:c r="H56" s="100" t="str">
        <x:v>只保存必要短引文、定位与链接，不把后出本纪当终审</x:v>
      </x:c>
      <x:c r="I56" s="100" t="str">
        <x:v>2026-08-17</x:v>
      </x:c>
      <x:c r="J56" s="100" t="str">
        <x:v>卷级索引已登记</x:v>
      </x:c>
      <x:c r="K56" s="100" t="str">
        <x:v>L0</x:v>
      </x:c>
    </x:row>
    <x:row r="57" ht="44" customHeight="1">
      <x:c r="A57" s="100" t="str">
        <x:v>IDX-053</x:v>
      </x:c>
      <x:c r="B57" s="100" t="str">
        <x:v>QH-E-06</x:v>
      </x:c>
      <x:c r="C57" s="100" t="str">
        <x:v>《清史稿》卷15授受大典与高宗崩条</x:v>
      </x:c>
      <x:c r="D57" s="100" t="str">
        <x:v>公版后出史书</x:v>
      </x:c>
      <x:c r="E57" s="100" t="str">
        <x:v>卷15末</x:v>
      </x:c>
      <x:c r="F57" s="100" t="str">
        <x:v>https://zh.wikisource.org/wiki/清史稿/卷15</x:v>
      </x:c>
      <x:c r="G57" s="100" t="str">
        <x:v>1796授受、太上皇训政表述与1799崩逝</x:v>
      </x:c>
      <x:c r="H57" s="100" t="str">
        <x:v>保存必要短引文与定位；不作终审</x:v>
      </x:c>
      <x:c r="I57" s="100" t="str">
        <x:v>2026-08-17</x:v>
      </x:c>
      <x:c r="J57" s="100" t="str">
        <x:v>主张已拆</x:v>
      </x:c>
      <x:c r="K57" s="100" t="str">
        <x:v>L3</x:v>
      </x:c>
    </x:row>
    <x:row r="58" ht="44" customHeight="1">
      <x:c r="A58" s="100" t="str">
        <x:v>IDX-054</x:v>
      </x:c>
      <x:c r="B58" s="100" t="str">
        <x:v>QH-E-07</x:v>
      </x:c>
      <x:c r="C58" s="100" t="str">
        <x:v>《清史稿》卷16内禅与和珅案条</x:v>
      </x:c>
      <x:c r="D58" s="100" t="str">
        <x:v>公版后出史书</x:v>
      </x:c>
      <x:c r="E58" s="100" t="str">
        <x:v>卷16嘉庆元年、四年</x:v>
      </x:c>
      <x:c r="F58" s="100" t="str">
        <x:v>https://zh.wikisource.org/wiki/清史稿/卷16</x:v>
      </x:c>
      <x:c r="G58" s="100" t="str">
        <x:v>内禅、训政、始亲政、下狱与赐死分日</x:v>
      </x:c>
      <x:c r="H58" s="100" t="str">
        <x:v>保存必要短引文与定位；不作终审</x:v>
      </x:c>
      <x:c r="I58" s="100" t="str">
        <x:v>2026-08-17</x:v>
      </x:c>
      <x:c r="J58" s="100" t="str">
        <x:v>主张已拆</x:v>
      </x:c>
      <x:c r="K58" s="100" t="str">
        <x:v>L3</x:v>
      </x:c>
    </x:row>
    <x:row r="59" ht="44" customHeight="1">
      <x:c r="A59" s="100" t="str">
        <x:v>IDX-055</x:v>
      </x:c>
      <x:c r="B59" s="100" t="str">
        <x:v>QH-E-07</x:v>
      </x:c>
      <x:c r="C59" s="100" t="str">
        <x:v>《清史稿》卷319和珅传</x:v>
      </x:c>
      <x:c r="D59" s="100" t="str">
        <x:v>公版后出列传</x:v>
      </x:c>
      <x:c r="E59" s="100" t="str">
        <x:v>卷319和珅传</x:v>
      </x:c>
      <x:c r="F59" s="100" t="str">
        <x:v>https://zh.wikisource.org/wiki/清史稿/卷319</x:v>
      </x:c>
      <x:c r="G59" s="100" t="str">
        <x:v>和珅任官、二十大罪上谕与赐自尽叙事</x:v>
      </x:c>
      <x:c r="H59" s="100" t="str">
        <x:v>页面仅50%文本质量；保存短引文并待对影印本</x:v>
      </x:c>
      <x:c r="I59" s="100" t="str">
        <x:v>2026-08-17</x:v>
      </x:c>
      <x:c r="J59" s="100" t="str">
        <x:v>主张已拆待复核</x:v>
      </x:c>
      <x:c r="K59" s="100" t="str">
        <x:v>L3</x:v>
      </x:c>
    </x:row>
  </x:sheetData>
  <x:mergeCells>
    <x:mergeCell ref="A1:K1"/>
    <x:mergeCell ref="A2:K2"/>
  </x:mergeCells>
  <x:conditionalFormatting sqref="J5:J59">
    <x:cfRule type="containsText" dxfId="5" priority="1" operator="containsText" text="已完成"/>
    <x:cfRule type="containsText" dxfId="6" priority="2" operator="containsText" text="已通过"/>
    <x:cfRule type="containsText" dxfId="7" priority="3" operator="containsText" text="进行中"/>
    <x:cfRule type="containsText" dxfId="8" priority="4" operator="containsText" text="待审核"/>
    <x:cfRule type="containsText" dxfId="9" priority="5" operator="containsText" text="阻塞"/>
  </x:conditionalFormatting>
  <x:pageMargins left="0.7" right="0.7" top="0.75" bottom="0.75" header="0.3" footer="0.3"/>
  <x:tableParts count="1">
    <x:tablePart xmlns:r="http://schemas.openxmlformats.org/officeDocument/2006/relationships" r:id="Ra3f4c0eb14c8444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6" hidden="0" customWidth="1"/>
    <x:col min="2" max="2" width="14" hidden="0" customWidth="1"/>
    <x:col min="3" max="3" width="24" hidden="0" customWidth="1"/>
    <x:col min="4" max="4" width="46" hidden="0" customWidth="1"/>
    <x:col min="5" max="5" width="22" hidden="0" customWidth="1"/>
    <x:col min="6" max="6" width="22" hidden="0" customWidth="1"/>
    <x:col min="7" max="7" width="26" hidden="0" customWidth="1"/>
    <x:col min="8" max="8" width="55" hidden="0" customWidth="1"/>
    <x:col min="9" max="9" width="55" hidden="0" customWidth="1"/>
    <x:col min="10" max="10" width="22" hidden="0" customWidth="1"/>
    <x:col min="11" max="11" width="10" hidden="0" customWidth="1"/>
    <x:col min="12" max="12" width="14" hidden="0" customWidth="1"/>
    <x:col min="13" max="13" width="14" hidden="0" customWidth="1"/>
    <x:col min="14" max="14" width="22" hidden="0" customWidth="1"/>
    <x:col min="15" max="15" width="14" hidden="0" customWidth="1"/>
    <x:col min="16" max="16" width="46" hidden="0" customWidth="1"/>
    <x:col min="17" max="17" width="46" hidden="0" customWidth="1"/>
    <x:col min="18" max="18" width="20" hidden="0" customWidth="1"/>
    <x:col min="19" max="19" width="42" hidden="0" customWidth="1"/>
    <x:col min="20" max="20" width="54" hidden="0" customWidth="1"/>
    <x:col min="21" max="21" width="42" hidden="0" customWidth="1"/>
    <x:col min="22" max="22" width="42" hidden="0" customWidth="1"/>
    <x:col min="23" max="23" width="22" hidden="0" customWidth="1"/>
  </x:cols>
  <x:sheetData>
    <x:row r="1" ht="34" customHeight="1">
      <x:c r="A1" s="3" t="str">
        <x:v>十二帝画像与历史照片</x:v>
      </x:c>
    </x:row>
    <x:row r="2" ht="24" customHeight="1">
      <x:c r="A2" s="6" t="str">
        <x:v>完整收录当前画像记录；公版许可、人物认定、原作馆藏、画面解析和数字文件来源分别管理</x:v>
      </x:c>
    </x:row>
    <x:row r="4" ht="32" customHeight="1">
      <x:c r="A4" s="92" t="str">
        <x:v>visual_id</x:v>
      </x:c>
      <x:c r="B4" s="93" t="str">
        <x:v>emperor_id</x:v>
      </x:c>
      <x:c r="C4" s="93" t="str">
        <x:v>人物</x:v>
      </x:c>
      <x:c r="D4" s="93" t="str">
        <x:v>对象标题</x:v>
      </x:c>
      <x:c r="E4" s="93" t="str">
        <x:v>图像性质</x:v>
      </x:c>
      <x:c r="F4" s="93" t="str">
        <x:v>制作年代或摄影日期</x:v>
      </x:c>
      <x:c r="G4" s="93" t="str">
        <x:v>作者或摄影者</x:v>
      </x:c>
      <x:c r="H4" s="93" t="str">
        <x:v>文件页</x:v>
      </x:c>
      <x:c r="I4" s="93" t="str">
        <x:v>预览文件</x:v>
      </x:c>
      <x:c r="J4" s="93" t="str">
        <x:v>文件页标示许可</x:v>
      </x:c>
      <x:c r="K4" s="93" t="str">
        <x:v>权利颜色</x:v>
      </x:c>
      <x:c r="L4" s="93" t="str">
        <x:v>可本地保存</x:v>
      </x:c>
      <x:c r="M4" s="93" t="str">
        <x:v>可公开展示</x:v>
      </x:c>
      <x:c r="N4" s="93" t="str">
        <x:v>对象认定状态</x:v>
      </x:c>
      <x:c r="O4" s="93" t="str">
        <x:v>核查日期</x:v>
      </x:c>
      <x:c r="P4" s="93" t="str">
        <x:v>使用说明</x:v>
      </x:c>
      <x:c r="Q4" s="93" t="str">
        <x:v>待核问题</x:v>
      </x:c>
      <x:c r="R4" s="93" t="str">
        <x:v>展示角色</x:v>
      </x:c>
      <x:c r="S4" s="93" t="str">
        <x:v>关键标注</x:v>
      </x:c>
      <x:c r="T4" s="93" t="str">
        <x:v>画面解析</x:v>
      </x:c>
      <x:c r="U4" s="93" t="str">
        <x:v>释文</x:v>
      </x:c>
      <x:c r="V4" s="93" t="str">
        <x:v>卡片钩子</x:v>
      </x:c>
      <x:c r="W4" s="94" t="str">
        <x:v>馆藏登录号</x:v>
      </x:c>
    </x:row>
    <x:row r="5" ht="52" customHeight="1">
      <x:c r="A5" s="99" t="str">
        <x:v>QH-V-E01</x:v>
      </x:c>
      <x:c r="B5" s="99" t="str">
        <x:v>QH-E-01</x:v>
      </x:c>
      <x:c r="C5" s="99" t="str">
        <x:v>爱新觉罗·努尔哈赤</x:v>
      </x:c>
      <x:c r="D5" s="99" t="str">
        <x:v>清太祖天命皇帝朝服像</x:v>
      </x:c>
      <x:c r="E5" s="99" t="str">
        <x:v>历史宫廷朝服像</x:v>
      </x:c>
      <x:c r="F5" s="99" t="str">
        <x:v>17世纪或稍后追绘</x:v>
      </x:c>
      <x:c r="G5" s="99" t="str">
        <x:v>佚名宫廷画家</x:v>
      </x:c>
      <x:c r="H5" s="99" t="str">
        <x:v>https://commons.wikimedia.org/wiki/File:%E6%B8%85_%E4%BD%9A%E5%90%8D_%E3%80%8A%E6%B8%85%E5%A4%AA%E7%A5%96%E5%A4%A9%E5%91%BD%E7%9A%87%E5%B8%9D%E6%9C%9D%E6%9C%8D%E5%83%8F%E3%80%8B.jpg</x:v>
      </x:c>
      <x:c r="I5" s="99" t="str">
        <x:v>https://upload.wikimedia.org/wikipedia/commons/thumb/6/63/%E6%B8%85_%E4%BD%9A%E5%90%8D_%E3%80%8A%E6%B8%85%E5%A4%AA%E7%A5%96%E5%A4%A9%E5%91%BD%E7%9A%87%E5%B8%9D%E6%9C%9D%E6%9C%8D%E5%83%8F%E3%80%8B.jpg/500px-%E6%B8%85_%E4%BD%9A%E5%90%8D_%E3%80%8A%E6%B8%85%E5%A4%AA%E7%A5%96%E5%A4%A9%E5%91%BD%E7%9A%87%E5%B8%9D%E6%9C%9D%E6%9C%8D%E5%83%8F%E3%80%8B.jpg</x:v>
      </x:c>
      <x:c r="J5" s="99" t="str">
        <x:v>Public domain</x:v>
      </x:c>
      <x:c r="K5" s="99" t="str">
        <x:v>绿</x:v>
      </x:c>
      <x:c r="L5" s="99" t="str">
        <x:v>是</x:v>
      </x:c>
      <x:c r="M5" s="99" t="str">
        <x:v>是</x:v>
      </x:c>
      <x:c r="N5" s="99" t="str">
        <x:v>文件题名明确</x:v>
      </x:c>
      <x:c r="O5" s="99" t="str">
        <x:v>2026-08-13</x:v>
      </x:c>
      <x:c r="P5" s="99" t="str">
        <x:v>十二帝网格默认图。入关前汗像按清宫朝服像程式追绘，不能直接当成生前写真。</x:v>
      </x:c>
      <x:c r="Q5" s="99" t="str">
        <x:v>核原作馆藏号、绘制年代与是否后世追称皇帝后补绘</x:v>
      </x:c>
      <x:c r="R5" s="99" t="str">
        <x:v>默认朝服像</x:v>
      </x:c>
      <x:c r="S5" s="99" t="str">
        <x:v>明黄龙袍；冬朝冠；宝座坐像；清宫朝服像程式</x:v>
      </x:c>
      <x:c r="T5" s="99" t="str">
        <x:v>这是清宫标准朝服正像：身着明黄龙袍、戴朝冠、坐于宝座。努尔哈赤生前是后金汗，此像用入关后皇帝朝服程式，更可能是后来为太庙/寿皇殿系统补绘的礼仪御容，不是战场或盛京时期的写生。</x:v>
      </x:c>
      <x:c r="U5" s="99" t="str"/>
      <x:c r="V5" s="99" t="str">
        <x:v>起兵时，身边只有十三副甲。</x:v>
      </x:c>
      <x:c r="W5" s="99" t="str"/>
    </x:row>
    <x:row r="6" ht="52" customHeight="1">
      <x:c r="A6" s="100" t="str">
        <x:v>QH-V-E02</x:v>
      </x:c>
      <x:c r="B6" s="100" t="str">
        <x:v>QH-E-02</x:v>
      </x:c>
      <x:c r="C6" s="100" t="str">
        <x:v>爱新觉罗·皇太极</x:v>
      </x:c>
      <x:c r="D6" s="100" t="str">
        <x:v>清太宗崇德皇帝朝服像</x:v>
      </x:c>
      <x:c r="E6" s="100" t="str">
        <x:v>历史宫廷朝服像</x:v>
      </x:c>
      <x:c r="F6" s="100" t="str">
        <x:v>17世纪或稍后追绘</x:v>
      </x:c>
      <x:c r="G6" s="100" t="str">
        <x:v>佚名宫廷画家</x:v>
      </x:c>
      <x:c r="H6" s="100" t="str">
        <x:v>https://commons.wikimedia.org/wiki/File:%E6%B8%85_%E4%BD%9A%E5%90%8D_%E3%80%8A%E6%B8%85%E5%A4%AA%E5%AE%97%E5%B4%87%E5%BE%B7%E7%9A%87%E5%B8%9D%E6%9C%9D%E6%9C%8D%E5%83%8F%E3%80%8B.jpg</x:v>
      </x:c>
      <x:c r="I6" s="100" t="str">
        <x:v>https://upload.wikimedia.org/wikipedia/commons/thumb/5/56/%E6%B8%85_%E4%BD%9A%E5%90%8D_%E3%80%8A%E6%B8%85%E5%A4%AA%E5%AE%97%E5%B4%87%E5%BE%B7%E7%9A%87%E5%B8%9D%E6%9C%9D%E6%9C%8D%E5%83%8F%E3%80%8B.jpg/500px-%E6%B8%85_%E4%BD%9A%E5%90%8D_%E3%80%8A%E6%B8%85%E5%A4%AA%E5%AE%97%E5%B4%87%E5%BE%B7%E7%9A%87%E5%B8%9D%E6%9C%9D%E6%9C%8D%E5%83%8F%E3%80%8B.jpg</x:v>
      </x:c>
      <x:c r="J6" s="100" t="str">
        <x:v>Public domain</x:v>
      </x:c>
      <x:c r="K6" s="100" t="str">
        <x:v>绿</x:v>
      </x:c>
      <x:c r="L6" s="100" t="str">
        <x:v>是</x:v>
      </x:c>
      <x:c r="M6" s="100" t="str">
        <x:v>是</x:v>
      </x:c>
      <x:c r="N6" s="100" t="str">
        <x:v>文件题名明确</x:v>
      </x:c>
      <x:c r="O6" s="100" t="str">
        <x:v>2026-08-13</x:v>
      </x:c>
      <x:c r="P6" s="100" t="str">
        <x:v>十二帝网格默认图。汗位在1626，称帝在1636，不是一次即位。</x:v>
      </x:c>
      <x:c r="Q6" s="100" t="str">
        <x:v>核原作馆藏、绘制时间及与天聪汗像的关系</x:v>
      </x:c>
      <x:c r="R6" s="100" t="str">
        <x:v>默认朝服像</x:v>
      </x:c>
      <x:c r="S6" s="100" t="str">
        <x:v>明黄龙袍；冬朝冠；宝座坐像；崇德帝身份</x:v>
      </x:c>
      <x:c r="T6" s="100" t="str">
        <x:v>皇太极先当了十年汗，年号天聪。1636年称帝，改国号大清，年号崇德。这张像穿明黄龙袍、坐宝座，是称帝以后的样子，不是天聪年间当汗的装束。</x:v>
      </x:c>
      <x:c r="U6" s="100" t="str"/>
      <x:c r="V6" s="100" t="str">
        <x:v>「大清」这个国号，是他称帝以后才有的。</x:v>
      </x:c>
      <x:c r="W6" s="100" t="str"/>
    </x:row>
    <x:row r="7" ht="52" customHeight="1">
      <x:c r="A7" s="100" t="str">
        <x:v>QH-V-E03</x:v>
      </x:c>
      <x:c r="B7" s="100" t="str">
        <x:v>QH-E-03</x:v>
      </x:c>
      <x:c r="C7" s="100" t="str">
        <x:v>爱新觉罗·福临</x:v>
      </x:c>
      <x:c r="D7" s="100" t="str">
        <x:v>清世祖顺治皇帝朝服像</x:v>
      </x:c>
      <x:c r="E7" s="100" t="str">
        <x:v>历史宫廷朝服像</x:v>
      </x:c>
      <x:c r="F7" s="100" t="str">
        <x:v>17世纪</x:v>
      </x:c>
      <x:c r="G7" s="100" t="str">
        <x:v>佚名宫廷画家</x:v>
      </x:c>
      <x:c r="H7" s="100" t="str">
        <x:v>https://commons.wikimedia.org/wiki/File:%E6%B8%85_%E4%BD%9A%E5%90%8D_%E3%80%8A%E6%B8%85%E4%B8%96%E7%A5%96%E9%A1%BA%E6%B2%BB%E7%9A%87%E5%B8%9D%E6%9C%9D%E6%9C%8D%E5%83%8F%E3%80%8B.jpg</x:v>
      </x:c>
      <x:c r="I7" s="100" t="str">
        <x:v>https://upload.wikimedia.org/wikipedia/commons/thumb/3/3d/%E6%B8%85_%E4%BD%9A%E5%90%8D_%E3%80%8A%E6%B8%85%E4%B8%96%E7%A5%96%E9%A1%BA%E6%B2%BB%E7%9A%87%E5%B8%9D%E6%9C%9D%E6%9C%8D%E5%83%8F%E3%80%8B.jpg/500px-%E6%B8%85_%E4%BD%9A%E5%90%8D_%E3%80%8A%E6%B8%85%E4%B8%96%E7%A5%96%E9%A1%BA%E6%B2%BB%E7%9A%87%E5%B8%9D%E6%9C%9D%E6%9C%8D%E5%83%8F%E3%80%8B.jpg</x:v>
      </x:c>
      <x:c r="J7" s="100" t="str">
        <x:v>Public domain</x:v>
      </x:c>
      <x:c r="K7" s="100" t="str">
        <x:v>绿</x:v>
      </x:c>
      <x:c r="L7" s="100" t="str">
        <x:v>是</x:v>
      </x:c>
      <x:c r="M7" s="100" t="str">
        <x:v>是</x:v>
      </x:c>
      <x:c r="N7" s="100" t="str">
        <x:v>文件题名明确</x:v>
      </x:c>
      <x:c r="O7" s="100" t="str">
        <x:v>2026-08-13</x:v>
      </x:c>
      <x:c r="P7" s="100" t="str">
        <x:v>十二帝网格默认图。朝服正像用于身份识别，不证明出家说或其他私生活叙事。</x:v>
      </x:c>
      <x:c r="Q7" s="100" t="str">
        <x:v>核原作馆藏号、版本关系及是否为成年御容</x:v>
      </x:c>
      <x:c r="R7" s="100" t="str">
        <x:v>默认朝服像</x:v>
      </x:c>
      <x:c r="S7" s="100" t="str">
        <x:v>明黄龙袍；冬朝冠；宝座坐像；入关后皇帝朝服</x:v>
      </x:c>
      <x:c r="T7" s="100" t="str">
        <x:v>顺治朝服像已是入关后北京宫廷的标准御容：明黄、龙纹、朝冠、坐像。它记录的是皇帝礼仪身份，不能用来证明或否定出家传闻；幼年即位与成年朝服像之间还有年龄差，须另核绘制阶段。</x:v>
      </x:c>
      <x:c r="U7" s="100" t="str"/>
      <x:c r="V7" s="100" t="str">
        <x:v>进北京那年，管事的是多尔衮。</x:v>
      </x:c>
      <x:c r="W7" s="100" t="str"/>
    </x:row>
    <x:row r="8" ht="52" customHeight="1">
      <x:c r="A8" s="100" t="str">
        <x:v>QH-V-E04</x:v>
      </x:c>
      <x:c r="B8" s="100" t="str">
        <x:v>QH-E-04</x:v>
      </x:c>
      <x:c r="C8" s="100" t="str">
        <x:v>爱新觉罗·玄烨</x:v>
      </x:c>
      <x:c r="D8" s="100" t="str">
        <x:v>清圣祖康熙皇帝朝服像</x:v>
      </x:c>
      <x:c r="E8" s="100" t="str">
        <x:v>历史宫廷朝服像</x:v>
      </x:c>
      <x:c r="F8" s="100" t="str">
        <x:v>康熙晚期</x:v>
      </x:c>
      <x:c r="G8" s="100" t="str">
        <x:v>佚名宫廷画家</x:v>
      </x:c>
      <x:c r="H8" s="100" t="str">
        <x:v>https://commons.wikimedia.org/wiki/File:%E6%B8%85_%E4%BD%9A%E5%90%8D_%E3%80%8A%E6%B8%85%E5%9C%A3%E7%A5%96%E5%BA%B7%E7%86%99%E7%9A%87%E5%B8%9D%E6%9C%9D%E6%9C%8D%E5%83%8F%E3%80%8B.jpg</x:v>
      </x:c>
      <x:c r="I8" s="100" t="str">
        <x:v>https://upload.wikimedia.org/wikipedia/commons/thumb/6/62/%E6%B8%85_%E4%BD%9A%E5%90%8D_%E3%80%8A%E6%B8%85%E5%9C%A3%E7%A5%96%E5%BA%B7%E7%86%99%E7%9A%87%E5%B8%9D%E6%9C%9D%E6%9C%8D%E5%83%8F%E3%80%8B.jpg/500px-%E6%B8%85_%E4%BD%9A%E5%90%8D_%E3%80%8A%E6%B8%85%E5%9C%A3%E7%A5%96%E5%BA%B7%E7%86%99%E7%9A%87%E5%B8%9D%E6%9C%9D%E6%9C%8D%E5%83%8F%E3%80%8B.jpg</x:v>
      </x:c>
      <x:c r="J8" s="100" t="str">
        <x:v>Public domain</x:v>
      </x:c>
      <x:c r="K8" s="100" t="str">
        <x:v>绿</x:v>
      </x:c>
      <x:c r="L8" s="100" t="str">
        <x:v>是</x:v>
      </x:c>
      <x:c r="M8" s="100" t="str">
        <x:v>是</x:v>
      </x:c>
      <x:c r="N8" s="100" t="str">
        <x:v>文件题名明确；故宫数字文物库有对应对象页</x:v>
      </x:c>
      <x:c r="O8" s="100" t="str">
        <x:v>2026-08-13</x:v>
      </x:c>
      <x:c r="P8" s="100" t="str">
        <x:v>十二帝网格与康熙人物页默认图。便服写字像另见 QH-V-E04B。</x:v>
      </x:c>
      <x:c r="Q8" s="100" t="str">
        <x:v>核原作当前馆藏号、尺寸及是否为寿皇殿系统正本</x:v>
      </x:c>
      <x:c r="R8" s="100" t="str">
        <x:v>默认朝服像</x:v>
      </x:c>
      <x:c r="S8" s="100" t="str">
        <x:v>明黄龙袍；冬朝冠缀东珠；宝座；屏风；成年御容</x:v>
      </x:c>
      <x:c r="T8" s="100" t="str">
        <x:v>康熙朝服像是清宫最典型的皇帝定妆程式：正面坐像、明黄龙袍、朝冠、宝座与屏风。它用于宗庙和宫廷识别，表现的是稳定的皇帝身份，不是某一日的生活场景。与便服写字像对照，可见同一人被画成两种功能完全不同的视觉对象。</x:v>
      </x:c>
      <x:c r="U8" s="100" t="str"/>
      <x:c r="V8" s="100" t="str">
        <x:v>死在畅春园。园子现在没了。</x:v>
      </x:c>
      <x:c r="W8" s="100" t="str">
        <x:v>故宫博物院 故00006396（Commons 文件页著录，2026-08-14 核验）</x:v>
      </x:c>
    </x:row>
    <x:row r="9" ht="52" customHeight="1">
      <x:c r="A9" s="100" t="str">
        <x:v>QH-V-E04B</x:v>
      </x:c>
      <x:c r="B9" s="100" t="str">
        <x:v>QH-E-04</x:v>
      </x:c>
      <x:c r="C9" s="100" t="str">
        <x:v>爱新觉罗·玄烨</x:v>
      </x:c>
      <x:c r="D9" s="100" t="str">
        <x:v>康熙帝便服写字像</x:v>
      </x:c>
      <x:c r="E9" s="100" t="str">
        <x:v>历史宫廷便服像</x:v>
      </x:c>
      <x:c r="F9" s="100" t="str">
        <x:v>康熙时期（1662—1722）</x:v>
      </x:c>
      <x:c r="G9" s="100" t="str">
        <x:v>佚名宫廷画家</x:v>
      </x:c>
      <x:c r="H9" s="100" t="str">
        <x:v>https://commons.wikimedia.org/wiki/File:Portrait_of_the_Kangxi_Emperor_in_Informal_Dress_Holding_a_Brush.jpg</x:v>
      </x:c>
      <x:c r="I9" s="100" t="str">
        <x:v>https://upload.wikimedia.org/wikipedia/commons/7/7f/Portrait_of_the_Kangxi_Emperor_in_Informal_Dress_Holding_a_Brush.jpg</x:v>
      </x:c>
      <x:c r="J9" s="100" t="str">
        <x:v>Public domain</x:v>
      </x:c>
      <x:c r="K9" s="100" t="str">
        <x:v>绿</x:v>
      </x:c>
      <x:c r="L9" s="100" t="str">
        <x:v>是</x:v>
      </x:c>
      <x:c r="M9" s="100" t="str">
        <x:v>是</x:v>
      </x:c>
      <x:c r="N9" s="100" t="str">
        <x:v>文件题名明确</x:v>
      </x:c>
      <x:c r="O9" s="100" t="str">
        <x:v>2026-08-13</x:v>
      </x:c>
      <x:c r="P9" s="100" t="str">
        <x:v>其他真迹。不替代朝服正像作为默认识别图。</x:v>
      </x:c>
      <x:c r="Q9" s="100" t="str">
        <x:v>核原作馆藏、画面制作阶段与是否为如意馆稿本</x:v>
      </x:c>
      <x:c r="R9" s="100" t="str">
        <x:v>其他真迹</x:v>
      </x:c>
      <x:c r="S9" s="100" t="str">
        <x:v>便服；手持毛笔；书案；非朝会场合</x:v>
      </x:c>
      <x:c r="T9" s="100" t="str">
        <x:v>此像把皇帝画成读书写字的文人姿态，衣色不是朝会所用明黄龙袍。它有助于理解宫廷对「勤学」的自我塑造，但不能当作朝服定妆，也不能单独证明某次具体批阅事件。与朝服像并列时，应标为便服像/行乐或书斋像。</x:v>
      </x:c>
      <x:c r="U9" s="100" t="str"/>
      <x:c r="V9" s="100" t="str"/>
      <x:c r="W9" s="100" t="str"/>
    </x:row>
    <x:row r="10" ht="52" customHeight="1">
      <x:c r="A10" s="100" t="str">
        <x:v>QH-V-E05</x:v>
      </x:c>
      <x:c r="B10" s="100" t="str">
        <x:v>QH-E-05</x:v>
      </x:c>
      <x:c r="C10" s="100" t="str">
        <x:v>爱新觉罗·胤禛</x:v>
      </x:c>
      <x:c r="D10" s="100" t="str">
        <x:v>清世宗雍正皇帝朝服像轴</x:v>
      </x:c>
      <x:c r="E10" s="100" t="str">
        <x:v>历史宫廷朝服像</x:v>
      </x:c>
      <x:c r="F10" s="100" t="str">
        <x:v>雍正时期（1723—1735）</x:v>
      </x:c>
      <x:c r="G10" s="100" t="str">
        <x:v>佚名宫廷画家</x:v>
      </x:c>
      <x:c r="H10" s="100" t="str">
        <x:v>https://commons.wikimedia.org/wiki/File:%E9%9B%8D%E6%AD%A3%E6%9C%9D%E6%9C%8D%E5%83%8F%E8%BD%B4.jpg</x:v>
      </x:c>
      <x:c r="I10" s="100" t="str">
        <x:v>https://upload.wikimedia.org/wikipedia/commons/thumb/8/80/%E9%9B%8D%E6%AD%A3%E6%9C%9D%E6%9C%8D%E5%83%8F%E8%BD%B4.jpg/500px-%E9%9B%8D%E6%AD%A3%E6%9C%9D%E6%9C%8D%E5%83%8F%E8%BD%B4.jpg</x:v>
      </x:c>
      <x:c r="J10" s="100" t="str">
        <x:v>Public domain</x:v>
      </x:c>
      <x:c r="K10" s="100" t="str">
        <x:v>绿</x:v>
      </x:c>
      <x:c r="L10" s="100" t="str">
        <x:v>是</x:v>
      </x:c>
      <x:c r="M10" s="100" t="str">
        <x:v>是</x:v>
      </x:c>
      <x:c r="N10" s="100" t="str">
        <x:v>文件题名明确</x:v>
      </x:c>
      <x:c r="O10" s="100" t="str">
        <x:v>2026-08-13</x:v>
      </x:c>
      <x:c r="P10" s="100" t="str">
        <x:v>十二帝网格默认图。角色扮演图册另见 QH-V-E05B。</x:v>
      </x:c>
      <x:c r="Q10" s="100" t="str">
        <x:v>核立像与坐像版本关系、原作尺寸和馆藏号</x:v>
      </x:c>
      <x:c r="R10" s="100" t="str">
        <x:v>默认朝服像</x:v>
      </x:c>
      <x:c r="S10" s="100" t="str">
        <x:v>明黄龙袍；朝冠；立像轴；清宫御容</x:v>
      </x:c>
      <x:c r="T10" s="100" t="str">
        <x:v>雍正朝服像轴仍用明黄龙袍与朝冠，是礼仪性御容。雍正另有大量道装、洋装、行猎等「扮装」图，那些是宫廷趣味与自我形象实验，不得与朝服定妆混为一类。默认展示必须用朝服像，扮装图只作为其他真迹进入。</x:v>
      </x:c>
      <x:c r="U10" s="100" t="str"/>
      <x:c r="V10" s="100" t="str">
        <x:v>灯下批折，写到二更。</x:v>
      </x:c>
      <x:c r="W10" s="100" t="str">
        <x:v>故宫博物院 故00006431；dpm.org.cn/collection/paint/231803.html（Commons 文件页著录，2026-08-14 核验）</x:v>
      </x:c>
    </x:row>
    <x:row r="11" ht="52" customHeight="1">
      <x:c r="A11" s="100" t="str">
        <x:v>QH-V-E05B</x:v>
      </x:c>
      <x:c r="B11" s="100" t="str">
        <x:v>QH-E-05</x:v>
      </x:c>
      <x:c r="C11" s="100" t="str">
        <x:v>爱新觉罗·胤禛</x:v>
      </x:c>
      <x:c r="D11" s="100" t="str">
        <x:v>雍正帝道装像（扮装图册之一）</x:v>
      </x:c>
      <x:c r="E11" s="100" t="str">
        <x:v>历史宫廷角色扮演图</x:v>
      </x:c>
      <x:c r="F11" s="100" t="str">
        <x:v>1723—1735</x:v>
      </x:c>
      <x:c r="G11" s="100" t="str">
        <x:v>佚名</x:v>
      </x:c>
      <x:c r="H11" s="100" t="str">
        <x:v>https://commons.wikimedia.org/wiki/File:Album_of_the_Yongzheng_Emperor_in_Costumes.jpg</x:v>
      </x:c>
      <x:c r="I11" s="100" t="str">
        <x:v>https://upload.wikimedia.org/wikipedia/commons/e/ef/Album_of_the_Yongzheng_Emperor_in_Costumes.jpg</x:v>
      </x:c>
      <x:c r="J11" s="100" t="str">
        <x:v>Public domain</x:v>
      </x:c>
      <x:c r="K11" s="100" t="str">
        <x:v>绿</x:v>
      </x:c>
      <x:c r="L11" s="100" t="str">
        <x:v>是</x:v>
      </x:c>
      <x:c r="M11" s="100" t="str">
        <x:v>是</x:v>
      </x:c>
      <x:c r="N11" s="100" t="str">
        <x:v>文件题名明确为图册中的一开</x:v>
      </x:c>
      <x:c r="O11" s="100" t="str">
        <x:v>2026-08-13</x:v>
      </x:c>
      <x:c r="P11" s="100" t="str">
        <x:v>其他真迹。不是标准御容，禁止作为十二帝默认头像。</x:v>
      </x:c>
      <x:c r="Q11" s="100" t="str">
        <x:v>需拆分图册各开、逐图情境和原题</x:v>
      </x:c>
      <x:c r="R11" s="100" t="str">
        <x:v>其他真迹</x:v>
      </x:c>
      <x:c r="S11" s="100" t="str">
        <x:v>道装；扮装；非朝服；图册单开</x:v>
      </x:c>
      <x:c r="T11" s="100" t="str">
        <x:v>此开把雍正画成道士装束，属于《雍正行乐图》类扮装传统。它证明宫廷允许皇帝以戏装、道装、洋装入画，但不能代表朝会身份，也不能用来说明雍正「崇道」到何种制度程度。人物认定以图册题名为准，具体开页原题仍待核。</x:v>
      </x:c>
      <x:c r="U11" s="100" t="str"/>
      <x:c r="V11" s="100" t="str"/>
      <x:c r="W11" s="100" t="str"/>
    </x:row>
    <x:row r="12" ht="52" customHeight="1">
      <x:c r="A12" s="100" t="str">
        <x:v>QH-V-E06</x:v>
      </x:c>
      <x:c r="B12" s="100" t="str">
        <x:v>QH-E-06</x:v>
      </x:c>
      <x:c r="C12" s="100" t="str">
        <x:v>爱新觉罗·弘历</x:v>
      </x:c>
      <x:c r="D12" s="100" t="str">
        <x:v>清高宗乾隆帝朝服像</x:v>
      </x:c>
      <x:c r="E12" s="100" t="str">
        <x:v>历史宫廷朝服像</x:v>
      </x:c>
      <x:c r="F12" s="100" t="str">
        <x:v>1736</x:v>
      </x:c>
      <x:c r="G12" s="100" t="str">
        <x:v>郎世宁</x:v>
      </x:c>
      <x:c r="H12" s="100" t="str">
        <x:v>https://commons.wikimedia.org/wiki/File:%E6%B8%85%E9%AB%98%E5%AE%97%E4%B9%BE%E9%9A%86%E5%B8%9D%E6%9C%9D%E6%9C%8D%E5%83%8F.jpg</x:v>
      </x:c>
      <x:c r="I12" s="100" t="str">
        <x:v>https://upload.wikimedia.org/wikipedia/commons/thumb/f/f7/%E6%B8%85%E9%AB%98%E5%AE%97%E4%B9%BE%E9%9A%86%E5%B8%9D%E6%9C%9D%E6%9C%8D%E5%83%8F.jpg/500px-%E6%B8%85%E9%AB%98%E5%AE%97%E4%B9%BE%E9%9A%86%E5%B8%9D%E6%9C%9D%E6%9C%8D%E5%83%8F.jpg</x:v>
      </x:c>
      <x:c r="J12" s="100" t="str">
        <x:v>Public domain</x:v>
      </x:c>
      <x:c r="K12" s="100" t="str">
        <x:v>绿</x:v>
      </x:c>
      <x:c r="L12" s="100" t="str">
        <x:v>是</x:v>
      </x:c>
      <x:c r="M12" s="100" t="str">
        <x:v>是</x:v>
      </x:c>
      <x:c r="N12" s="100" t="str">
        <x:v>文件题名明确；Commons 标郎世宁、1736、故宫藏</x:v>
      </x:c>
      <x:c r="O12" s="100" t="str">
        <x:v>2026-08-13</x:v>
      </x:c>
      <x:c r="P12" s="100" t="str">
        <x:v>十二帝网格默认图。全身朝服坐像，脚在踏凳上。英文文件名那张是晚年近景，源图无下半身，另见 QH-V-E06K。</x:v>
      </x:c>
      <x:c r="Q12" s="100" t="str">
        <x:v>故宫馆藏号；与《清人画弘历朝服像轴》是否同一件。不用故宫数字文物库原图。</x:v>
      </x:c>
      <x:c r="R12" s="100" t="str">
        <x:v>默认朝服像</x:v>
      </x:c>
      <x:c r="S12" s="100" t="str">
        <x:v>明黄龙袍；十二章纹样；冬朝冠；宝座坐像；脚踏；地毯；郎世宁画风</x:v>
      </x:c>
      <x:c r="T12" s="100" t="str">
        <x:v>这是清宫标准朝服正像的全身轴：明黄龙袍、朝冠、宝座、脚踏和地毯。脸部体积来自郎世宁系统，仍是礼仪绘画，不是照片。文件页题 1736 年，画的是即位之初的年轻容貌，不能当成一生所有年龄段。原先网格用的英文文件名是另一张晚年近景，腰以下被裁掉了。</x:v>
      </x:c>
      <x:c r="U12" s="100" t="str"/>
      <x:c r="V12" s="100" t="str">
        <x:v>禅了位，还管了三年。</x:v>
      </x:c>
      <x:c r="W12" s="100" t="str"/>
    </x:row>
    <x:row r="13" ht="52" customHeight="1">
      <x:c r="A13" s="100" t="str">
        <x:v>QH-V-E07</x:v>
      </x:c>
      <x:c r="B13" s="100" t="str">
        <x:v>QH-E-07</x:v>
      </x:c>
      <x:c r="C13" s="100" t="str">
        <x:v>爱新觉罗·颙琰</x:v>
      </x:c>
      <x:c r="D13" s="100" t="str">
        <x:v>清仁宗嘉庆皇帝朝服像</x:v>
      </x:c>
      <x:c r="E13" s="100" t="str">
        <x:v>历史宫廷朝服像</x:v>
      </x:c>
      <x:c r="F13" s="100" t="str">
        <x:v>19世纪</x:v>
      </x:c>
      <x:c r="G13" s="100" t="str">
        <x:v>佚名宫廷画家</x:v>
      </x:c>
      <x:c r="H13" s="100" t="str">
        <x:v>https://commons.wikimedia.org/wiki/File:%E6%B8%85_%E4%BD%9A%E5%90%8D_%E3%80%8A%E6%B8%85%E4%BB%81%E5%AE%97%E5%98%89%E5%BA%86%E7%9A%87%E5%B8%9D%E6%9C%9D%E6%9C%8D%E5%83%8F%E3%80%8B.jpg</x:v>
      </x:c>
      <x:c r="I13" s="100" t="str">
        <x:v>https://upload.wikimedia.org/wikipedia/commons/thumb/b/bb/%E6%B8%85_%E4%BD%9A%E5%90%8D_%E3%80%8A%E6%B8%85%E4%BB%81%E5%AE%97%E5%98%89%E5%BA%86%E7%9A%87%E5%B8%9D%E6%9C%9D%E6%9C%8D%E5%83%8F%E3%80%8B.jpg/500px-%E6%B8%85_%E4%BD%9A%E5%90%8D_%E3%80%8A%E6%B8%85%E4%BB%81%E5%AE%97%E5%98%89%E5%BA%86%E7%9A%87%E5%B8%9D%E6%9C%9D%E6%9C%8D%E5%83%8F%E3%80%8B.jpg</x:v>
      </x:c>
      <x:c r="J13" s="100" t="str">
        <x:v>Public domain</x:v>
      </x:c>
      <x:c r="K13" s="100" t="str">
        <x:v>绿</x:v>
      </x:c>
      <x:c r="L13" s="100" t="str">
        <x:v>是</x:v>
      </x:c>
      <x:c r="M13" s="100" t="str">
        <x:v>是</x:v>
      </x:c>
      <x:c r="N13" s="100" t="str">
        <x:v>文件题名明确</x:v>
      </x:c>
      <x:c r="O13" s="100" t="str">
        <x:v>2026-08-13</x:v>
      </x:c>
      <x:c r="P13" s="100" t="str">
        <x:v>十二帝网格默认图。1796—1799训政期的权力状态不能从此像读出。</x:v>
      </x:c>
      <x:c r="Q13" s="100" t="str">
        <x:v>文件页年代著录宽泛；需核原作馆藏号与绘制年份</x:v>
      </x:c>
      <x:c r="R13" s="100" t="str">
        <x:v>默认朝服像</x:v>
      </x:c>
      <x:c r="S13" s="100" t="str">
        <x:v>明黄龙袍；冬朝冠；宝座坐像</x:v>
      </x:c>
      <x:c r="T13" s="100" t="str">
        <x:v>嘉庆朝服像沿用乾隆以后的皇帝正像程式。画面只说明「这是皇帝的礼仪形象」，读不出太上皇训政、诛和珅或天理教攻宫。年代若只写十九世纪，则连在位早年或晚年都无法从图像本身判定。</x:v>
      </x:c>
      <x:c r="U13" s="100" t="str"/>
      <x:c r="V13" s="100" t="str">
        <x:v>和珅是登基第四年才抓的。</x:v>
      </x:c>
      <x:c r="W13" s="100" t="str"/>
    </x:row>
    <x:row r="14" ht="52" customHeight="1">
      <x:c r="A14" s="100" t="str">
        <x:v>QH-V-E08</x:v>
      </x:c>
      <x:c r="B14" s="100" t="str">
        <x:v>QH-E-08</x:v>
      </x:c>
      <x:c r="C14" s="100" t="str">
        <x:v>爱新觉罗·旻宁</x:v>
      </x:c>
      <x:c r="D14" s="100" t="str">
        <x:v>清宣宗道光皇帝朝服像</x:v>
      </x:c>
      <x:c r="E14" s="100" t="str">
        <x:v>历史宫廷朝服像</x:v>
      </x:c>
      <x:c r="F14" s="100" t="str">
        <x:v>清代</x:v>
      </x:c>
      <x:c r="G14" s="100" t="str">
        <x:v>佚名宫廷画家</x:v>
      </x:c>
      <x:c r="H14" s="100" t="str">
        <x:v>https://commons.wikimedia.org/wiki/File:%E6%B8%85_%E4%BD%9A%E5%90%8D_%E3%80%8A%E6%B8%85%E5%AE%A3%E5%AE%97%E9%81%93%E5%85%89%E7%9A%87%E5%B8%9D%E6%9C%9D%E6%9C%8D%E5%83%8F%E3%80%8B.jpg</x:v>
      </x:c>
      <x:c r="I14" s="100" t="str">
        <x:v>https://upload.wikimedia.org/wikipedia/commons/thumb/b/b9/%E6%B8%85_%E4%BD%9A%E5%90%8D_%E3%80%8A%E6%B8%85%E5%AE%A3%E5%AE%97%E9%81%93%E5%85%89%E7%9A%87%E5%B8%9D%E6%9C%9D%E6%9C%8D%E5%83%8F%E3%80%8B.jpg/500px-%E6%B8%85_%E4%BD%9A%E5%90%8D_%E3%80%8A%E6%B8%85%E5%AE%A3%E5%AE%97%E9%81%93%E5%85%89%E7%9A%87%E5%B8%9D%E6%9C%9D%E6%9C%8D%E5%83%8F%E3%80%8B.jpg</x:v>
      </x:c>
      <x:c r="J14" s="100" t="str">
        <x:v>Public domain</x:v>
      </x:c>
      <x:c r="K14" s="100" t="str">
        <x:v>绿</x:v>
      </x:c>
      <x:c r="L14" s="100" t="str">
        <x:v>是</x:v>
      </x:c>
      <x:c r="M14" s="100" t="str">
        <x:v>是</x:v>
      </x:c>
      <x:c r="N14" s="100" t="str">
        <x:v>文件题名明确</x:v>
      </x:c>
      <x:c r="O14" s="100" t="str">
        <x:v>2026-08-13</x:v>
      </x:c>
      <x:c r="P14" s="100" t="str">
        <x:v>十二帝网格默认图。园居行乐图另见 QH-V-E08B。</x:v>
      </x:c>
      <x:c r="Q14" s="100" t="str">
        <x:v>核原作馆藏号、绘制年代与绵宁避讳改旻宁后的题名</x:v>
      </x:c>
      <x:c r="R14" s="100" t="str">
        <x:v>默认朝服像</x:v>
      </x:c>
      <x:c r="S14" s="100" t="str">
        <x:v>明黄龙袍；冬朝冠；宝座坐像</x:v>
      </x:c>
      <x:c r="T14" s="100" t="str">
        <x:v>道光朝服像是标准皇帝定妆：明黄、龙纹、朝冠、坐像。园居便服像表现的是另一套宫廷生活视觉，二者不可互换。朝服像也不能用来讲述禁烟或鸦片战争；那些事件需要档案与实录，不在这张礼仪画像里。</x:v>
      </x:c>
      <x:c r="U14" s="100" t="str"/>
      <x:c r="V14" s="100" t="str">
        <x:v>割香港岛的字，签在南京江面的船上。</x:v>
      </x:c>
      <x:c r="W14" s="100" t="str"/>
    </x:row>
    <x:row r="15" ht="52" customHeight="1">
      <x:c r="A15" s="100" t="str">
        <x:v>QH-V-E08B</x:v>
      </x:c>
      <x:c r="B15" s="100" t="str">
        <x:v>QH-E-08</x:v>
      </x:c>
      <x:c r="C15" s="100" t="str">
        <x:v>爱新觉罗·旻宁</x:v>
      </x:c>
      <x:c r="D15" s="100" t="str">
        <x:v>道光帝园居像</x:v>
      </x:c>
      <x:c r="E15" s="100" t="str">
        <x:v>历史宫廷行乐图</x:v>
      </x:c>
      <x:c r="F15" s="100" t="str">
        <x:v>清代</x:v>
      </x:c>
      <x:c r="G15" s="100" t="str">
        <x:v>清宫画家</x:v>
      </x:c>
      <x:c r="H15" s="100" t="str">
        <x:v>https://commons.wikimedia.org/wiki/File:Emperor_Daoguang_Sitting_in_Garden.JPG</x:v>
      </x:c>
      <x:c r="I15" s="100" t="str">
        <x:v>https://upload.wikimedia.org/wikipedia/commons/thumb/5/59/Emperor_Daoguang_Sitting_in_Garden.JPG/500px-Emperor_Daoguang_Sitting_in_Garden.JPG</x:v>
      </x:c>
      <x:c r="J15" s="100" t="str">
        <x:v>Public domain</x:v>
      </x:c>
      <x:c r="K15" s="100" t="str">
        <x:v>绿</x:v>
      </x:c>
      <x:c r="L15" s="100" t="str">
        <x:v>是</x:v>
      </x:c>
      <x:c r="M15" s="100" t="str">
        <x:v>是</x:v>
      </x:c>
      <x:c r="N15" s="100" t="str">
        <x:v>文件题名明确</x:v>
      </x:c>
      <x:c r="O15" s="100" t="str">
        <x:v>2026-08-13</x:v>
      </x:c>
      <x:c r="P15" s="100" t="str">
        <x:v>其他真迹。非朝服正像。</x:v>
      </x:c>
      <x:c r="Q15" s="100" t="str">
        <x:v>核对象原题、年代与画中人物认定依据</x:v>
      </x:c>
      <x:c r="R15" s="100" t="str">
        <x:v>其他真迹</x:v>
      </x:c>
      <x:c r="S15" s="100" t="str">
        <x:v>便服；园林；坐具非宝座；行乐场景</x:v>
      </x:c>
      <x:c r="T15" s="100" t="str">
        <x:v>此图把皇帝放进园林坐具与花木之间，衣饰不是朝会龙袍。它属于行乐/园居传统，用来补充「宫廷生活」视觉，不能当定妆照。人物认定目前主要依据文件题名，原作题跋和馆藏说明仍待核。</x:v>
      </x:c>
      <x:c r="U15" s="100" t="str"/>
      <x:c r="V15" s="100" t="str"/>
      <x:c r="W15" s="100" t="str"/>
    </x:row>
    <x:row r="16" ht="52" customHeight="1">
      <x:c r="A16" s="100" t="str">
        <x:v>QH-V-E09</x:v>
      </x:c>
      <x:c r="B16" s="100" t="str">
        <x:v>QH-E-09</x:v>
      </x:c>
      <x:c r="C16" s="100" t="str">
        <x:v>爱新觉罗·奕詝</x:v>
      </x:c>
      <x:c r="D16" s="100" t="str">
        <x:v>清文宗咸丰皇帝朝服像</x:v>
      </x:c>
      <x:c r="E16" s="100" t="str">
        <x:v>历史宫廷朝服像</x:v>
      </x:c>
      <x:c r="F16" s="100" t="str">
        <x:v>19世纪</x:v>
      </x:c>
      <x:c r="G16" s="100" t="str">
        <x:v>佚名宫廷画家</x:v>
      </x:c>
      <x:c r="H16" s="100" t="str">
        <x:v>https://commons.wikimedia.org/wiki/File:%E3%80%8A%E5%92%B8%E4%B8%B0%E7%9A%87%E5%B8%9D%E6%9C%9D%E6%9C%8D%E5%83%8F%E3%80%8B.jpg</x:v>
      </x:c>
      <x:c r="I16" s="100" t="str">
        <x:v>https://upload.wikimedia.org/wikipedia/commons/thumb/d/db/%E3%80%8A%E5%92%B8%E4%B8%B0%E7%9A%87%E5%B8%9D%E6%9C%9D%E6%9C%8D%E5%83%8F%E3%80%8B.jpg/500px-%E3%80%8A%E5%92%B8%E4%B8%B0%E7%9A%87%E5%B8%9D%E6%9C%9D%E6%9C%8D%E5%83%8F%E3%80%8B.jpg</x:v>
      </x:c>
      <x:c r="J16" s="100" t="str">
        <x:v>Public domain</x:v>
      </x:c>
      <x:c r="K16" s="100" t="str">
        <x:v>绿</x:v>
      </x:c>
      <x:c r="L16" s="100" t="str">
        <x:v>是</x:v>
      </x:c>
      <x:c r="M16" s="100" t="str">
        <x:v>是</x:v>
      </x:c>
      <x:c r="N16" s="100" t="str">
        <x:v>文件题名明确</x:v>
      </x:c>
      <x:c r="O16" s="100" t="str">
        <x:v>2026-08-13</x:v>
      </x:c>
      <x:c r="P16" s="100" t="str">
        <x:v>十二帝网格默认图。读书行乐图另见 QH-V-E09B。</x:v>
      </x:c>
      <x:c r="Q16" s="100" t="str">
        <x:v>核原作馆藏号与制作年代</x:v>
      </x:c>
      <x:c r="R16" s="100" t="str">
        <x:v>默认朝服像</x:v>
      </x:c>
      <x:c r="S16" s="100" t="str">
        <x:v>明黄龙袍；冬朝冠；宝座坐像</x:v>
      </x:c>
      <x:c r="T16" s="100" t="str">
        <x:v>咸丰朝服像维持清宫皇帝正像传统。第二次鸦片战争、圆明园被毁等事件不会出现在朝服像中；那些必须另建事件页。此像只回答「官方如何画这位皇帝」，不回答战争责任。</x:v>
      </x:c>
      <x:c r="U16" s="100" t="str"/>
      <x:c r="V16" s="100" t="str">
        <x:v>园子烧掉那年，人已经在热河。</x:v>
      </x:c>
      <x:c r="W16" s="100" t="str"/>
    </x:row>
    <x:row r="17" ht="52" customHeight="1">
      <x:c r="A17" s="100" t="str">
        <x:v>QH-V-E09B</x:v>
      </x:c>
      <x:c r="B17" s="100" t="str">
        <x:v>QH-E-09</x:v>
      </x:c>
      <x:c r="C17" s="100" t="str">
        <x:v>爱新觉罗·奕詝</x:v>
      </x:c>
      <x:c r="D17" s="100" t="str">
        <x:v>咸丰帝读书像</x:v>
      </x:c>
      <x:c r="E17" s="100" t="str">
        <x:v>历史宫廷行乐图</x:v>
      </x:c>
      <x:c r="F17" s="100" t="str">
        <x:v>19世纪</x:v>
      </x:c>
      <x:c r="G17" s="100" t="str">
        <x:v>佚名宫廷画家</x:v>
      </x:c>
      <x:c r="H17" s="100" t="str">
        <x:v>https://commons.wikimedia.org/wiki/File:Emperor_Xianfeng_reading.jpg</x:v>
      </x:c>
      <x:c r="I17" s="100" t="str">
        <x:v>https://upload.wikimedia.org/wikipedia/commons/f/f4/Emperor_Xianfeng_reading.jpg</x:v>
      </x:c>
      <x:c r="J17" s="100" t="str">
        <x:v>Public domain</x:v>
      </x:c>
      <x:c r="K17" s="100" t="str">
        <x:v>绿</x:v>
      </x:c>
      <x:c r="L17" s="100" t="str">
        <x:v>是</x:v>
      </x:c>
      <x:c r="M17" s="100" t="str">
        <x:v>是</x:v>
      </x:c>
      <x:c r="N17" s="100" t="str">
        <x:v>文件题名明确</x:v>
      </x:c>
      <x:c r="O17" s="100" t="str">
        <x:v>2026-08-13</x:v>
      </x:c>
      <x:c r="P17" s="100" t="str">
        <x:v>其他真迹。非标准朝服像。</x:v>
      </x:c>
      <x:c r="Q17" s="100" t="str">
        <x:v>核原作馆藏号、制作年代与场景原题</x:v>
      </x:c>
      <x:c r="R17" s="100" t="str">
        <x:v>其他真迹</x:v>
      </x:c>
      <x:c r="S17" s="100" t="str">
        <x:v>便服或常服；读书；室内陈设</x:v>
      </x:c>
      <x:c r="T17" s="100" t="str">
        <x:v>读书像把皇帝放进书斋，强调「勤学」姿态。它不是朝会定妆，分辨率和裁切也较低。可作为其他真迹浏览，但人物认定和原题仍须回馆藏对象页。</x:v>
      </x:c>
      <x:c r="U17" s="100" t="str"/>
      <x:c r="V17" s="100" t="str"/>
      <x:c r="W17" s="100" t="str"/>
    </x:row>
    <x:row r="18" ht="52" customHeight="1">
      <x:c r="A18" s="100" t="str">
        <x:v>QH-V-E10</x:v>
      </x:c>
      <x:c r="B18" s="100" t="str">
        <x:v>QH-E-10</x:v>
      </x:c>
      <x:c r="C18" s="100" t="str">
        <x:v>爱新觉罗·载淳</x:v>
      </x:c>
      <x:c r="D18" s="100" t="str">
        <x:v>清穆宗同治皇帝朝服像</x:v>
      </x:c>
      <x:c r="E18" s="100" t="str">
        <x:v>历史宫廷朝服像</x:v>
      </x:c>
      <x:c r="F18" s="100" t="str">
        <x:v>19世纪</x:v>
      </x:c>
      <x:c r="G18" s="100" t="str">
        <x:v>佚名宫廷画家</x:v>
      </x:c>
      <x:c r="H18" s="100" t="str">
        <x:v>https://commons.wikimedia.org/wiki/File:%E6%B8%85_%E4%BD%9A%E5%90%8D_%E3%80%8A%E6%B8%85%E7%A9%86%E5%AE%97%E5%90%8C%E6%B2%BB%E7%9A%87%E5%B8%9D%E6%9C%9D%E6%9C%8D%E5%83%8F%E3%80%8B.jpg</x:v>
      </x:c>
      <x:c r="I18" s="100" t="str">
        <x:v>https://upload.wikimedia.org/wikipedia/commons/thumb/c/c3/%E6%B8%85_%E4%BD%9A%E5%90%8D_%E3%80%8A%E6%B8%85%E7%A9%86%E5%AE%97%E5%90%8C%E6%B2%BB%E7%9A%87%E5%B8%9D%E6%9C%9D%E6%9C%8D%E5%83%8F%E3%80%8B.jpg/500px-%E6%B8%85_%E4%BD%9A%E5%90%8D_%E3%80%8A%E6%B8%85%E7%A9%86%E5%AE%97%E5%90%8C%E6%B2%BB%E7%9A%87%E5%B8%9D%E6%9C%9D%E6%9C%8D%E5%83%8F%E3%80%8B.jpg</x:v>
      </x:c>
      <x:c r="J18" s="100" t="str">
        <x:v>Public domain</x:v>
      </x:c>
      <x:c r="K18" s="100" t="str">
        <x:v>绿</x:v>
      </x:c>
      <x:c r="L18" s="100" t="str">
        <x:v>是</x:v>
      </x:c>
      <x:c r="M18" s="100" t="str">
        <x:v>是</x:v>
      </x:c>
      <x:c r="N18" s="100" t="str">
        <x:v>文件题名明确</x:v>
      </x:c>
      <x:c r="O18" s="100" t="str">
        <x:v>2026-08-13</x:v>
      </x:c>
      <x:c r="P18" s="100" t="str">
        <x:v>十二帝网格默认图。写字行乐图另见 QH-V-E10B。</x:v>
      </x:c>
      <x:c r="Q18" s="100" t="str">
        <x:v>核原作馆藏号及画中年龄阶段</x:v>
      </x:c>
      <x:c r="R18" s="100" t="str">
        <x:v>默认朝服像</x:v>
      </x:c>
      <x:c r="S18" s="100" t="str">
        <x:v>明黄龙袍；冬朝冠；宝座坐像；幼帝成年后的礼仪形象</x:v>
      </x:c>
      <x:c r="T18" s="100" t="str">
        <x:v>同治朝服像把一位幼年即位的皇帝画成完整的朝服坐像。它表现的是帝位，不是1861年六岁儿童的日常面貌。祺祥年号从未正式行用，更不会出现在朝服像题名中。</x:v>
      </x:c>
      <x:c r="U18" s="100" t="str"/>
      <x:c r="V18" s="100" t="str">
        <x:v>帘子后面是两宫太后。</x:v>
      </x:c>
      <x:c r="W18" s="100" t="str"/>
    </x:row>
    <x:row r="19" ht="52" customHeight="1">
      <x:c r="A19" s="100" t="str">
        <x:v>QH-V-E10B</x:v>
      </x:c>
      <x:c r="B19" s="100" t="str">
        <x:v>QH-E-10</x:v>
      </x:c>
      <x:c r="C19" s="100" t="str">
        <x:v>爱新觉罗·载淳</x:v>
      </x:c>
      <x:c r="D19" s="100" t="str">
        <x:v>同治帝写字像</x:v>
      </x:c>
      <x:c r="E19" s="100" t="str">
        <x:v>历史宫廷行乐图</x:v>
      </x:c>
      <x:c r="F19" s="100" t="str">
        <x:v>19世纪</x:v>
      </x:c>
      <x:c r="G19" s="100" t="str">
        <x:v>佚名宫廷画家</x:v>
      </x:c>
      <x:c r="H19" s="100" t="str">
        <x:v>https://commons.wikimedia.org/wiki/File:Emperor_Tongzhi_writing.jpg</x:v>
      </x:c>
      <x:c r="I19" s="100" t="str">
        <x:v>https://upload.wikimedia.org/wikipedia/commons/7/7d/Emperor_Tongzhi_writing.jpg</x:v>
      </x:c>
      <x:c r="J19" s="100" t="str">
        <x:v>Public domain</x:v>
      </x:c>
      <x:c r="K19" s="100" t="str">
        <x:v>绿</x:v>
      </x:c>
      <x:c r="L19" s="100" t="str">
        <x:v>是</x:v>
      </x:c>
      <x:c r="M19" s="100" t="str">
        <x:v>是</x:v>
      </x:c>
      <x:c r="N19" s="100" t="str">
        <x:v>文件题名明确</x:v>
      </x:c>
      <x:c r="O19" s="100" t="str">
        <x:v>2026-08-13</x:v>
      </x:c>
      <x:c r="P19" s="100" t="str">
        <x:v>其他真迹。非标准御容。</x:v>
      </x:c>
      <x:c r="Q19" s="100" t="str">
        <x:v>核原作馆藏号及画中人物认定</x:v>
      </x:c>
      <x:c r="R19" s="100" t="str">
        <x:v>其他真迹</x:v>
      </x:c>
      <x:c r="S19" s="100" t="str">
        <x:v>书案；书写；非朝服正像</x:v>
      </x:c>
      <x:c r="T19" s="100" t="str">
        <x:v>写字像属于活动场景，不是朝服定妆。现有数字文件偏小，只适合作为对照，不适合当识别用头像。</x:v>
      </x:c>
      <x:c r="U19" s="100" t="str"/>
      <x:c r="V19" s="100" t="str"/>
      <x:c r="W19" s="100" t="str"/>
    </x:row>
    <x:row r="20" ht="52" customHeight="1">
      <x:c r="A20" s="100" t="str">
        <x:v>QH-V-E11</x:v>
      </x:c>
      <x:c r="B20" s="100" t="str">
        <x:v>QH-E-11</x:v>
      </x:c>
      <x:c r="C20" s="100" t="str">
        <x:v>爱新觉罗·载湉</x:v>
      </x:c>
      <x:c r="D20" s="100" t="str">
        <x:v>清德宗光绪皇帝朝服像</x:v>
      </x:c>
      <x:c r="E20" s="100" t="str">
        <x:v>历史宫廷朝服像</x:v>
      </x:c>
      <x:c r="F20" s="100" t="str">
        <x:v>晚清</x:v>
      </x:c>
      <x:c r="G20" s="100" t="str">
        <x:v>佚名宫廷画家</x:v>
      </x:c>
      <x:c r="H20" s="100" t="str">
        <x:v>https://commons.wikimedia.org/wiki/File:Emperor_Guangxu.jpg</x:v>
      </x:c>
      <x:c r="I20" s="100" t="str">
        <x:v>https://upload.wikimedia.org/wikipedia/commons/thumb/8/8e/Emperor_Guangxu.jpg/500px-Emperor_Guangxu.jpg</x:v>
      </x:c>
      <x:c r="J20" s="100" t="str">
        <x:v>Public domain</x:v>
      </x:c>
      <x:c r="K20" s="100" t="str">
        <x:v>绿</x:v>
      </x:c>
      <x:c r="L20" s="100" t="str">
        <x:v>是</x:v>
      </x:c>
      <x:c r="M20" s="100" t="str">
        <x:v>是</x:v>
      </x:c>
      <x:c r="N20" s="100" t="str">
        <x:v>文件题名明确</x:v>
      </x:c>
      <x:c r="O20" s="100" t="str">
        <x:v>2026-08-13</x:v>
      </x:c>
      <x:c r="P20" s="100" t="str">
        <x:v>十二帝网格默认图。常服历史照片另见 QH-V-E11B。</x:v>
      </x:c>
      <x:c r="Q20" s="100" t="str">
        <x:v>核原作馆藏号、绘制年代与是否为晚年御容</x:v>
      </x:c>
      <x:c r="R20" s="100" t="str">
        <x:v>默认朝服像</x:v>
      </x:c>
      <x:c r="S20" s="100" t="str">
        <x:v>明黄龙袍；冬朝冠；宝座坐像；绘画而非照片</x:v>
      </x:c>
      <x:c r="T20" s="100" t="str">
        <x:v>光绪仍有传统朝服轴，说明清宫到二十世纪初仍用绘画制作皇帝正像。与1906年常服照片对照：朝服像是礼仪绘画，照片才是光学记录。两张都不能单独说明戊戌或庚子的政治决策。</x:v>
      </x:c>
      <x:c r="U20" s="100" t="str"/>
      <x:c r="V20" s="100" t="str">
        <x:v>戊戌那一百天，他想自己管事。</x:v>
      </x:c>
      <x:c r="W20" s="100" t="str"/>
    </x:row>
    <x:row r="21" ht="52" customHeight="1">
      <x:c r="A21" s="100" t="str">
        <x:v>QH-V-E11B</x:v>
      </x:c>
      <x:c r="B21" s="100" t="str">
        <x:v>QH-E-11</x:v>
      </x:c>
      <x:c r="C21" s="100" t="str">
        <x:v>爱新觉罗·载湉</x:v>
      </x:c>
      <x:c r="D21" s="100" t="str">
        <x:v>光绪帝常服照片</x:v>
      </x:c>
      <x:c r="E21" s="100" t="str">
        <x:v>历史照片</x:v>
      </x:c>
      <x:c r="F21" s="100" t="str">
        <x:v>不晚于1906年刊载；拍摄日期待核</x:v>
      </x:c>
      <x:c r="G21" s="100" t="str">
        <x:v>摄影者未详；刊载于 Charles Denby《China and Her People》</x:v>
      </x:c>
      <x:c r="H21" s="100" t="str">
        <x:v>https://commons.wikimedia.org/wiki/File:Emperor_Guangxu_in_Ordinary_Clothes.jpg</x:v>
      </x:c>
      <x:c r="I21" s="100" t="str">
        <x:v>https://upload.wikimedia.org/wikipedia/commons/thumb/5/59/Emperor_Guangxu_in_Ordinary_Clothes.jpg/500px-Emperor_Guangxu_in_Ordinary_Clothes.jpg</x:v>
      </x:c>
      <x:c r="J21" s="100" t="str">
        <x:v>Public domain</x:v>
      </x:c>
      <x:c r="K21" s="100" t="str">
        <x:v>绿</x:v>
      </x:c>
      <x:c r="L21" s="100" t="str">
        <x:v>是</x:v>
      </x:c>
      <x:c r="M21" s="100" t="str">
        <x:v>是</x:v>
      </x:c>
      <x:c r="N21" s="100" t="str">
        <x:v>人物认定据文件题名；出版物线索已知</x:v>
      </x:c>
      <x:c r="O21" s="100" t="str">
        <x:v>2026-08-13</x:v>
      </x:c>
      <x:c r="P21" s="100" t="str">
        <x:v>历史照片；不是朝服定妆。1906年是出版线索，不作为精确拍摄日；Denby是出版物作者，不能据此登记为摄影者。</x:v>
      </x:c>
      <x:c r="Q21" s="100" t="str">
        <x:v>核出版物具体版次页码、原始底片或更早刊载记录与摄影者身份</x:v>
      </x:c>
      <x:c r="R21" s="100" t="str">
        <x:v>其他真迹</x:v>
      </x:c>
      <x:c r="S21" s="100" t="str">
        <x:v>照片；常服；不晚于1906年刊载；光学记录</x:v>
      </x:c>
      <x:c r="T21" s="100" t="str">
        <x:v>该图由1906年前后的出版物刊载并题作光绪帝常服照，可作为容貌记录线索；拍摄场合、拍摄者、准确日期、修整和出版物裁切均待核。默认头像仍用朝服像，以保持十二帝识别系统一致。</x:v>
      </x:c>
      <x:c r="U21" s="100" t="str"/>
      <x:c r="V21" s="100" t="str"/>
      <x:c r="W21" s="100" t="str"/>
    </x:row>
    <x:row r="22" ht="52" customHeight="1">
      <x:c r="A22" s="100" t="str">
        <x:v>QH-V-E12</x:v>
      </x:c>
      <x:c r="B22" s="100" t="str">
        <x:v>QH-E-12</x:v>
      </x:c>
      <x:c r="C22" s="100" t="str">
        <x:v>爱新觉罗·溥仪</x:v>
      </x:c>
      <x:c r="D22" s="100" t="str">
        <x:v>宣统帝朝服照片</x:v>
      </x:c>
      <x:c r="E22" s="100" t="str">
        <x:v>历史照片</x:v>
      </x:c>
      <x:c r="F22" s="100" t="str">
        <x:v>二十世纪前期；文件页说明指向复辟朝服照</x:v>
      </x:c>
      <x:c r="G22" s="100" t="str">
        <x:v>佚名摄影师</x:v>
      </x:c>
      <x:c r="H22" s="100" t="str">
        <x:v>https://commons.wikimedia.org/wiki/File:Xuantong.jpg</x:v>
      </x:c>
      <x:c r="I22" s="100" t="str">
        <x:v>https://upload.wikimedia.org/wikipedia/commons/c/ca/Xuantong.jpg</x:v>
      </x:c>
      <x:c r="J22" s="100" t="str">
        <x:v>Public domain</x:v>
      </x:c>
      <x:c r="K22" s="100" t="str">
        <x:v>绿</x:v>
      </x:c>
      <x:c r="L22" s="100" t="str">
        <x:v>是</x:v>
      </x:c>
      <x:c r="M22" s="100" t="str">
        <x:v>是</x:v>
      </x:c>
      <x:c r="N22" s="100" t="str">
        <x:v>文件题名作宣统帝；来源说明或为复辟朝服照</x:v>
      </x:c>
      <x:c r="O22" s="100" t="str">
        <x:v>2026-08-13</x:v>
      </x:c>
      <x:c r="P22" s="100" t="str">
        <x:v>十二帝网格默认图。溥仪没有与前十一帝同系列的清宫朝服轴，故用朝服照片代替。不得标为1908—1912在位期御照，除非另有日期证据。</x:v>
      </x:c>
      <x:c r="Q22" s="100" t="str">
        <x:v>区分1908—1912在位照、1917复辟照与退位后小朝廷照</x:v>
      </x:c>
      <x:c r="R22" s="100" t="str">
        <x:v>默认朝服像</x:v>
      </x:c>
      <x:c r="S22" s="100" t="str">
        <x:v>明黄龙袍；朝冠；照片；幼年或少年容貌；时态待核</x:v>
      </x:c>
      <x:c r="T22" s="100" t="str">
        <x:v>清宫未给溥仪留下与康雍乾同系列的大幅朝服轴。这张照片让他穿着明黄龙袍和朝冠，视觉上最接近「黄色定妆」，但文件页同时出现「宣统帝」与「复辟朝服照」两种说法。1917年张勋复辟时溥仪已退位五年，故此照最多证明「有人拍过他穿朝服」，不能默认成在位期官方定妆。退位后紫禁城生活照见 QH-V-E12B。</x:v>
      </x:c>
      <x:c r="U22" s="100" t="str"/>
      <x:c r="V22" s="100" t="str">
        <x:v>退位那年，还是个孩子。</x:v>
      </x:c>
      <x:c r="W22" s="100" t="str"/>
    </x:row>
    <x:row r="23" ht="52" customHeight="1">
      <x:c r="A23" s="100" t="str">
        <x:v>QH-V-E12B</x:v>
      </x:c>
      <x:c r="B23" s="100" t="str">
        <x:v>QH-E-12</x:v>
      </x:c>
      <x:c r="C23" s="100" t="str">
        <x:v>爱新觉罗·溥仪</x:v>
      </x:c>
      <x:c r="D23" s="100" t="str">
        <x:v>溥仪在紫禁城</x:v>
      </x:c>
      <x:c r="E23" s="100" t="str">
        <x:v>历史照片</x:v>
      </x:c>
      <x:c r="F23" s="100" t="str">
        <x:v>1914—1924</x:v>
      </x:c>
      <x:c r="G23" s="100" t="str">
        <x:v>作者未明</x:v>
      </x:c>
      <x:c r="H23" s="100" t="str">
        <x:v>https://commons.wikimedia.org/wiki/File:Puyi_in_the_Forbidden_City.jpg</x:v>
      </x:c>
      <x:c r="I23" s="100" t="str">
        <x:v>https://upload.wikimedia.org/wikipedia/commons/6/67/Puyi_in_the_Forbidden_City.jpg</x:v>
      </x:c>
      <x:c r="J23" s="100" t="str">
        <x:v>Public domain</x:v>
      </x:c>
      <x:c r="K23" s="100" t="str">
        <x:v>绿</x:v>
      </x:c>
      <x:c r="L23" s="100" t="str">
        <x:v>是</x:v>
      </x:c>
      <x:c r="M23" s="100" t="str">
        <x:v>是</x:v>
      </x:c>
      <x:c r="N23" s="100" t="str">
        <x:v>文件题名明确</x:v>
      </x:c>
      <x:c r="O23" s="100" t="str">
        <x:v>2026-08-13</x:v>
      </x:c>
      <x:c r="P23" s="100" t="str">
        <x:v>其他真迹。退位后小朝廷时期照片，不可误标为清朝在位期御照。</x:v>
      </x:c>
      <x:c r="Q23" s="100" t="str">
        <x:v>继续寻找并核验1908—1912在位期照片</x:v>
      </x:c>
      <x:c r="R23" s="100" t="str">
        <x:v>其他真迹</x:v>
      </x:c>
      <x:c r="S23" s="100" t="str">
        <x:v>照片；退位后；紫禁城；常服或便装</x:v>
      </x:c>
      <x:c r="T23" s="100" t="str">
        <x:v>摄于清帝退位之后、仍居紫禁城的小朝廷时期。服装不是朝会龙袍，场景是宫廷生活而非朝会。它是真实历史照片，但时间属于1912年以后，不能用来代表宣统在位的官方形象。</x:v>
      </x:c>
      <x:c r="U23" s="100" t="str"/>
      <x:c r="V23" s="100" t="str"/>
      <x:c r="W23" s="100" t="str"/>
    </x:row>
    <x:row r="24" ht="52" customHeight="1">
      <x:c r="A24" s="100" t="str">
        <x:v>QH-V-E01C</x:v>
      </x:c>
      <x:c r="B24" s="100" t="str">
        <x:v>QH-E-01</x:v>
      </x:c>
      <x:c r="C24" s="100" t="str">
        <x:v>爱新觉罗·努尔哈赤</x:v>
      </x:c>
      <x:c r="D24" s="100" t="str">
        <x:v>明金战争图（或与萨尔浒相关的后世战争画）</x:v>
      </x:c>
      <x:c r="E24" s="100" t="str">
        <x:v>后世历史画</x:v>
      </x:c>
      <x:c r="F24" s="100" t="str">
        <x:v>待核</x:v>
      </x:c>
      <x:c r="G24" s="100" t="str">
        <x:v>佚名</x:v>
      </x:c>
      <x:c r="H24" s="100" t="str">
        <x:v>https://commons.wikimedia.org/wiki/File:Minggunbattle.jpg</x:v>
      </x:c>
      <x:c r="I24" s="100" t="str">
        <x:v>https://upload.wikimedia.org/wikipedia/commons/thumb/4/40/Minggunbattle.jpg/500px-Minggunbattle.jpg</x:v>
      </x:c>
      <x:c r="J24" s="100" t="str">
        <x:v>Public domain</x:v>
      </x:c>
      <x:c r="K24" s="100" t="str">
        <x:v>绿</x:v>
      </x:c>
      <x:c r="L24" s="100" t="str">
        <x:v>是</x:v>
      </x:c>
      <x:c r="M24" s="100" t="str">
        <x:v>是</x:v>
      </x:c>
      <x:c r="N24" s="100" t="str">
        <x:v>战争场景明确；是否即萨尔浒待核</x:v>
      </x:c>
      <x:c r="O24" s="100" t="str">
        <x:v>2026-08-13</x:v>
      </x:c>
      <x:c r="P24" s="100" t="str">
        <x:v>相关史迹视觉。不是战场遗址照片，也不是同时代战报附图。</x:v>
      </x:c>
      <x:c r="Q24" s="100" t="str">
        <x:v>文件题名未写萨尔浒，须对照图说与战役地标后再决定是否升级为萨尔浒专图</x:v>
      </x:c>
      <x:c r="R24" s="100" t="str">
        <x:v>相关史迹</x:v>
      </x:c>
      <x:c r="S24" s="100" t="str">
        <x:v>明金战争；火器；后世画；非遗址照片</x:v>
      </x:c>
      <x:c r="T24" s="100" t="str">
        <x:v>此图表现明军与后金/清军交战，常见于萨尔浒叙事插图，但文件页并未标明具体战役。它只能说明后人对这场战争的想象，不能当1619年现场记录。萨尔浒主战场在抚顺大伙房水库一带，不是新宾兴京。今地另见今地条。</x:v>
      </x:c>
      <x:c r="U24" s="100" t="str"/>
      <x:c r="V24" s="100" t="str"/>
      <x:c r="W24" s="100" t="str"/>
    </x:row>
    <x:row r="25" ht="52" customHeight="1">
      <x:c r="A25" s="100" t="str">
        <x:v>QH-V-E01D</x:v>
      </x:c>
      <x:c r="B25" s="100" t="str">
        <x:v>QH-E-01</x:v>
      </x:c>
      <x:c r="C25" s="100" t="str">
        <x:v>爱新觉罗·努尔哈赤</x:v>
      </x:c>
      <x:c r="D25" s="100" t="str">
        <x:v>新宾兴京一带今貌（赫图阿拉/兴京周边）</x:v>
      </x:c>
      <x:c r="E25" s="100" t="str">
        <x:v>现代地景照片</x:v>
      </x:c>
      <x:c r="F25" s="100" t="str">
        <x:v>21世纪</x:v>
      </x:c>
      <x:c r="G25" s="100" t="str">
        <x:v>见 Commons 文件页</x:v>
      </x:c>
      <x:c r="H25" s="100" t="str">
        <x:v>https://commons.wikimedia.org/wiki/File:Views_from_Xingjing_Bridge,_Xinbin.jpg</x:v>
      </x:c>
      <x:c r="I25" s="100" t="str">
        <x:v>https://upload.wikimedia.org/wikipedia/commons/thumb/9/95/Views_from_Xingjing_Bridge%2C_Xinbin.jpg/500px-Views_from_Xingjing_Bridge%2C_Xinbin.jpg</x:v>
      </x:c>
      <x:c r="J25" s="100" t="str">
        <x:v>CC0</x:v>
      </x:c>
      <x:c r="K25" s="100" t="str">
        <x:v>绿</x:v>
      </x:c>
      <x:c r="L25" s="100" t="str">
        <x:v>是</x:v>
      </x:c>
      <x:c r="M25" s="100" t="str">
        <x:v>是</x:v>
      </x:c>
      <x:c r="N25" s="100" t="str">
        <x:v>地点在新宾兴京，接近赫图阿拉故地；不是萨尔浒古战场定点照片</x:v>
      </x:c>
      <x:c r="O25" s="100" t="str">
        <x:v>2026-08-13</x:v>
      </x:c>
      <x:c r="P25" s="100" t="str">
        <x:v>相关史迹。现代地貌，不能倒推1619年战场。CC0。</x:v>
      </x:c>
      <x:c r="Q25" s="100" t="str">
        <x:v>萨尔浒主战场今地已另立条；仍须核萨尔浒城、界藩城坐标与乾隆萨尔浒碑现存位置</x:v>
      </x:c>
      <x:c r="R25" s="100" t="str">
        <x:v>相关史迹</x:v>
      </x:c>
      <x:c r="S25" s="100" t="str">
        <x:v>兴京；新宾；赫图阿拉周边；现代照片</x:v>
      </x:c>
      <x:c r="T25" s="100" t="str">
        <x:v>赫图阿拉是努尔哈赤起兵后的重要驻地，兴京即其地理记忆。这张照片拍的是今日新宾兴京桥一带，只供定位；河流、植被和建筑都是现代层。萨尔浒主战场在抚顺大伙房水库一带，不是这张兴京桥。今地已另立条。</x:v>
      </x:c>
      <x:c r="U25" s="100" t="str"/>
      <x:c r="V25" s="100" t="str"/>
      <x:c r="W25" s="100" t="str"/>
    </x:row>
    <x:row r="26" ht="52" customHeight="1">
      <x:c r="A26" s="100" t="str">
        <x:v>QH-V-E01E</x:v>
      </x:c>
      <x:c r="B26" s="100" t="str">
        <x:v>QH-E-01</x:v>
      </x:c>
      <x:c r="C26" s="100" t="str">
        <x:v>爱新觉罗·努尔哈赤</x:v>
      </x:c>
      <x:c r="D26" s="100" t="str">
        <x:v>乾隆御制《太祖大破明师于萨尔浒山之战书事》</x:v>
      </x:c>
      <x:c r="E26" s="100" t="str">
        <x:v>御制史论文本</x:v>
      </x:c>
      <x:c r="F26" s="100" t="str">
        <x:v>乾隆四十一年前后</x:v>
      </x:c>
      <x:c r="G26" s="100" t="str">
        <x:v>爱新觉罗·弘历撰；永璇等有书册传本</x:v>
      </x:c>
      <x:c r="H26" s="100" t="str">
        <x:v>https://digitalarchive.npm.gov.tw/Collection/Detail/1545?dep=P</x:v>
      </x:c>
      <x:c r="I26" s="100" t="str"/>
      <x:c r="J26" s="100" t="str">
        <x:v>馆藏数字影像待逐项核权</x:v>
      </x:c>
      <x:c r="K26" s="100" t="str">
        <x:v>黄</x:v>
      </x:c>
      <x:c r="L26" s="100" t="str">
        <x:v>仅保存自建录文与书目</x:v>
      </x:c>
      <x:c r="M26" s="100" t="str">
        <x:v>仅外链</x:v>
      </x:c>
      <x:c r="N26" s="100" t="str">
        <x:v>文本为乾隆追述开国之战，不是努尔哈赤同时代战报</x:v>
      </x:c>
      <x:c r="O26" s="100" t="str">
        <x:v>2026-08-13</x:v>
      </x:c>
      <x:c r="P26" s="100" t="str">
        <x:v>黄色资源：只展示短引文和外链，不嵌入台北故宫高清图。</x:v>
      </x:c>
      <x:c r="Q26" s="100" t="str">
        <x:v>沈阳故宫所藏萨尔浒碑现状与拓本权利</x:v>
      </x:c>
      <x:c r="R26" s="100" t="str">
        <x:v>相关史迹</x:v>
      </x:c>
      <x:c r="S26" s="100" t="str">
        <x:v>乾隆追述；萨尔浒；御制文；非努尔哈赤亲笔</x:v>
      </x:c>
      <x:c r="T26" s="100" t="str">
        <x:v>这是乾隆对萨尔浒之战的官方再叙述，用来塑造开国记忆，不是1619年的原始军报。</x:v>
      </x:c>
      <x:c r="U26" s="100" t="str">
        <x:v>御制己未岁我太祖大破明师于萨尔浒山之战书事。盖闻国之将兴必有祯祥。然祯祥之赐由乎天而致。天之赐则由乎人。予小子于己未岁我太祖大破明师于萨尔浒之战，益信此理之不爽也。</x:v>
      </x:c>
      <x:c r="V26" s="100" t="str"/>
      <x:c r="W26" s="100" t="str"/>
    </x:row>
    <x:row r="27" ht="52" customHeight="1">
      <x:c r="A27" s="100" t="str">
        <x:v>QH-V-E03C</x:v>
      </x:c>
      <x:c r="B27" s="100" t="str">
        <x:v>QH-E-03</x:v>
      </x:c>
      <x:c r="C27" s="100" t="str">
        <x:v>爱新觉罗·福临</x:v>
      </x:c>
      <x:c r="D27" s="100" t="str">
        <x:v>摄政王多尔衮令旨</x:v>
      </x:c>
      <x:c r="E27" s="100" t="str">
        <x:v>清初官方文书</x:v>
      </x:c>
      <x:c r="F27" s="100" t="str">
        <x:v>顺治初年</x:v>
      </x:c>
      <x:c r="G27" s="100" t="str">
        <x:v>摄政王多尔衮衙署</x:v>
      </x:c>
      <x:c r="H27" s="100" t="str">
        <x:v>https://commons.wikimedia.org/wiki/File:%E6%91%84%E6%94%BF%E7%8E%8B%E5%A4%9A%E5%B0%94%E8%A1%AE%E4%B8%8B%E5%8F%91%E7%9A%84%E4%BB%A4%E6%97%A8.jpg</x:v>
      </x:c>
      <x:c r="I27" s="100" t="str">
        <x:v>https://upload.wikimedia.org/wikipedia/commons/thumb/9/9d/%E6%91%84%E6%94%BF%E7%8E%8B%E5%A4%9A%E5%B0%94%E8%A1%AE%E4%B8%8B%E5%8F%91%E7%9A%84%E4%BB%A4%E6%97%A8.jpg/500px-%E6%91%84%E6%94%BF%E7%8E%8B%E5%A4%9A%E5%B0%94%E8%A1%AE%E4%B8%8B%E5%8F%91%E7%9A%84%E4%BB%A4%E6%97%A8.jpg</x:v>
      </x:c>
      <x:c r="J27" s="100" t="str">
        <x:v>Public domain</x:v>
      </x:c>
      <x:c r="K27" s="100" t="str">
        <x:v>绿</x:v>
      </x:c>
      <x:c r="L27" s="100" t="str">
        <x:v>是</x:v>
      </x:c>
      <x:c r="M27" s="100" t="str">
        <x:v>是</x:v>
      </x:c>
      <x:c r="N27" s="100" t="str">
        <x:v>文件题名为多尔衮令旨；不是顺治帝朱批</x:v>
      </x:c>
      <x:c r="O27" s="100" t="str">
        <x:v>2026-08-13</x:v>
      </x:c>
      <x:c r="P27" s="100" t="str">
        <x:v>相关文书。幼帝时期军政文书常由摄政王发出，不得标成皇帝亲批。</x:v>
      </x:c>
      <x:c r="Q27" s="100" t="str">
        <x:v>核档号、收文对象与发布时间</x:v>
      </x:c>
      <x:c r="R27" s="100" t="str">
        <x:v>奏折朱批</x:v>
      </x:c>
      <x:c r="S27" s="100" t="str">
        <x:v>令旨；摄政王；满汉文；非皇帝朱批</x:v>
      </x:c>
      <x:c r="T27" s="100" t="str">
        <x:v>顺治即位时尚幼，多尔衮以摄政王发令旨。这件文书说明清初权力结构，但不能当作福临亲笔朱批。朱批奏折制度要到康熙以后才稳定成型。</x:v>
      </x:c>
      <x:c r="U27" s="100" t="str">
        <x:v>此件为摄政王令旨，不是皇帝朱批。释文须按原件满汉文逐行校对后再登录；目前只展示图像与制度说明。</x:v>
      </x:c>
      <x:c r="V27" s="100" t="str"/>
      <x:c r="W27" s="100" t="str"/>
    </x:row>
    <x:row r="28" ht="52" customHeight="1">
      <x:c r="A28" s="100" t="str">
        <x:v>QH-V-E04C</x:v>
      </x:c>
      <x:c r="B28" s="100" t="str">
        <x:v>QH-E-04</x:v>
      </x:c>
      <x:c r="C28" s="100" t="str">
        <x:v>爱新觉罗·玄烨</x:v>
      </x:c>
      <x:c r="D28" s="100" t="str">
        <x:v>康熙御书兰亭碑</x:v>
      </x:c>
      <x:c r="E28" s="100" t="str">
        <x:v>御笔碑刻</x:v>
      </x:c>
      <x:c r="F28" s="100" t="str">
        <x:v>康熙年间书；今存碑刻</x:v>
      </x:c>
      <x:c r="G28" s="100" t="str">
        <x:v>玄烨书；照片依 Commons 文件页署名</x:v>
      </x:c>
      <x:c r="H28" s="100" t="str">
        <x:v>https://commons.wikimedia.org/wiki/File:Kangxi_Lanting_tablet.JPG</x:v>
      </x:c>
      <x:c r="I28" s="100" t="str">
        <x:v>https://upload.wikimedia.org/wikipedia/commons/thumb/d/d8/Kangxi_Lanting_tablet.JPG/500px-Kangxi_Lanting_tablet.JPG</x:v>
      </x:c>
      <x:c r="J28" s="100" t="str">
        <x:v>CC BY 3.0</x:v>
      </x:c>
      <x:c r="K28" s="100" t="str">
        <x:v>绿</x:v>
      </x:c>
      <x:c r="L28" s="100" t="str">
        <x:v>是</x:v>
      </x:c>
      <x:c r="M28" s="100" t="str">
        <x:v>是</x:v>
      </x:c>
      <x:c r="N28" s="100" t="str">
        <x:v>碑刻题为康熙御书兰亭系统</x:v>
      </x:c>
      <x:c r="O28" s="100" t="str">
        <x:v>2026-08-13</x:v>
      </x:c>
      <x:c r="P28" s="100" t="str">
        <x:v>御笔书法。照片依 CC BY 3.0 署名 Commons 文件页作者。碑刻是复制传播层，须与纸本墨迹区分。</x:v>
      </x:c>
      <x:c r="Q28" s="100" t="str">
        <x:v>核立碑地点、底本与是否为康熙亲笔上石</x:v>
      </x:c>
      <x:c r="R28" s="100" t="str">
        <x:v>御笔书法</x:v>
      </x:c>
      <x:c r="S28" s="100" t="str">
        <x:v>行书；兰亭；碑刻；御书</x:v>
      </x:c>
      <x:c r="T28" s="100" t="str">
        <x:v>康熙多次临《兰亭》，此为碑刻传本。书法可见皇帝以二王传统自我塑造，但不能把每一处「康熙御笔」匾额都当成同一天、同一稿。照片许可是 CC BY，须保留拍摄者署名。</x:v>
      </x:c>
      <x:c r="U28" s="100" t="str">
        <x:v>碑文为《兰亭序》临写系统，全文以原石为准。此处不整篇录文，避免把碑刻拓本与王羲之原文层混为一谈。</x:v>
      </x:c>
      <x:c r="V28" s="100" t="str"/>
      <x:c r="W28" s="100" t="str"/>
    </x:row>
    <x:row r="29" ht="52" customHeight="1">
      <x:c r="A29" s="100" t="str">
        <x:v>QH-V-E04D</x:v>
      </x:c>
      <x:c r="B29" s="100" t="str">
        <x:v>QH-E-04</x:v>
      </x:c>
      <x:c r="C29" s="100" t="str">
        <x:v>爱新觉罗·玄烨</x:v>
      </x:c>
      <x:c r="D29" s="100" t="str">
        <x:v>康熙朝宫中档奏折（原件入口）</x:v>
      </x:c>
      <x:c r="E29" s="100" t="str">
        <x:v>朱批奏折原件</x:v>
      </x:c>
      <x:c r="F29" s="100" t="str">
        <x:v>康熙朝</x:v>
      </x:c>
      <x:c r="G29" s="100" t="str">
        <x:v>具奏官员；玄烨朱批</x:v>
      </x:c>
      <x:c r="H29" s="100" t="str">
        <x:v>https://qingarchives.npm.edu.tw/index.php?act=Display/image/32306oS0k=kU</x:v>
      </x:c>
      <x:c r="I29" s="100" t="str"/>
      <x:c r="J29" s="100" t="str">
        <x:v>馆藏影像待逐项核权</x:v>
      </x:c>
      <x:c r="K29" s="100" t="str">
        <x:v>黄</x:v>
      </x:c>
      <x:c r="L29" s="100" t="str">
        <x:v>仅保存档号与短引文</x:v>
      </x:c>
      <x:c r="M29" s="100" t="str">
        <x:v>仅外链</x:v>
      </x:c>
      <x:c r="N29" s="100" t="str">
        <x:v>台北故宫清档系统可检索康熙朝奏折；本条不嵌入原图</x:v>
      </x:c>
      <x:c r="O29" s="100" t="str">
        <x:v>2026-08-13</x:v>
      </x:c>
      <x:c r="P29" s="100" t="str">
        <x:v>黄色资源。能浏览不等于可复制。点原站核原折与朱批。</x:v>
      </x:c>
      <x:c r="Q29" s="100" t="str">
        <x:v>为康雍样本选定10件高优先级折件并逐件登录档号</x:v>
      </x:c>
      <x:c r="R29" s="100" t="str">
        <x:v>奏折朱批</x:v>
      </x:c>
      <x:c r="S29" s="100" t="str">
        <x:v>宫中档；朱批；原件外链；不镜像</x:v>
      </x:c>
      <x:c r="T29" s="100" t="str">
        <x:v>康熙朝已经常用奏折朱批。朱笔批在折面、折尾或贴黄。</x:v>
      </x:c>
      <x:c r="U29" s="100" t="str">
        <x:v>常见朱批形态包括「览」「知道了」及针对该折的具体指示。在未打开指定原折前，不把通行概括写成某件奏折的全文。</x:v>
      </x:c>
      <x:c r="V29" s="100" t="str"/>
      <x:c r="W29" s="100" t="str"/>
    </x:row>
    <x:row r="30" ht="52" customHeight="1">
      <x:c r="A30" s="100" t="str">
        <x:v>QH-V-E05C</x:v>
      </x:c>
      <x:c r="B30" s="100" t="str">
        <x:v>QH-E-05</x:v>
      </x:c>
      <x:c r="C30" s="100" t="str">
        <x:v>爱新觉罗·胤禛</x:v>
      </x:c>
      <x:c r="D30" s="100" t="str">
        <x:v>雍正朱批谕旨（刻本转引）与宫中档原件入口</x:v>
      </x:c>
      <x:c r="E30" s="100" t="str">
        <x:v>朱批奏折／官刻汇编</x:v>
      </x:c>
      <x:c r="F30" s="100" t="str">
        <x:v>雍正朝原批；乾隆朝有刻本流传</x:v>
      </x:c>
      <x:c r="G30" s="100" t="str">
        <x:v>具奏官员；胤禛朱批</x:v>
      </x:c>
      <x:c r="H30" s="100" t="str">
        <x:v>https://qingarchives.npm.edu.tw/index.php?act=Landing%2Finformation</x:v>
      </x:c>
      <x:c r="I30" s="100" t="str"/>
      <x:c r="J30" s="100" t="str">
        <x:v>原件影像待逐项核权；刻本文本可作公版线索</x:v>
      </x:c>
      <x:c r="K30" s="100" t="str">
        <x:v>黄</x:v>
      </x:c>
      <x:c r="L30" s="100" t="str">
        <x:v>仅保存短引文与书目</x:v>
      </x:c>
      <x:c r="M30" s="100" t="str">
        <x:v>仅外链</x:v>
      </x:c>
      <x:c r="N30" s="100" t="str">
        <x:v>朱批谕旨是选编本，不等于宫中档全宗</x:v>
      </x:c>
      <x:c r="O30" s="100" t="str">
        <x:v>2026-08-13</x:v>
      </x:c>
      <x:c r="P30" s="100" t="str">
        <x:v>黄色资源。原件图像外链；刻本只作发现和短引。</x:v>
      </x:c>
      <x:c r="Q30" s="100" t="str">
        <x:v>选年羹尧、鄂尔泰等折各一件做原件回查</x:v>
      </x:c>
      <x:c r="R30" s="100" t="str">
        <x:v>奏折朱批</x:v>
      </x:c>
      <x:c r="S30" s="100" t="str">
        <x:v>朱批；朱批谕旨刻本；宫中档；选编不等于全档</x:v>
      </x:c>
      <x:c r="T30" s="100" t="str">
        <x:v>雍正以朱批控制信息最出名。《朱批谕旨》是后来选刻的，有删选。要看某件原批，得回宫中档原折。</x:v>
      </x:c>
      <x:c r="U30" s="100" t="str">
        <x:v>朱批最常见者仅「览」或「知道了」，长批则针对该折人事、军需或心术。因尚未指定并打开某一原折，此处不伪造具体长批全文。请在台北故宫清档系统按人名、时间检索原件。</x:v>
      </x:c>
      <x:c r="V30" s="100" t="str"/>
      <x:c r="W30" s="100" t="str"/>
    </x:row>
    <x:row r="31" ht="52" customHeight="1">
      <x:c r="A31" s="100" t="str">
        <x:v>QH-V-E06B</x:v>
      </x:c>
      <x:c r="B31" s="100" t="str">
        <x:v>QH-E-06</x:v>
      </x:c>
      <x:c r="C31" s="100" t="str">
        <x:v>爱新觉罗·弘历</x:v>
      </x:c>
      <x:c r="D31" s="100" t="str">
        <x:v>乾隆帝佛装像</x:v>
      </x:c>
      <x:c r="E31" s="100" t="str">
        <x:v>宫廷宗教化身像</x:v>
      </x:c>
      <x:c r="F31" s="100" t="str">
        <x:v>约1758</x:v>
      </x:c>
      <x:c r="G31" s="100" t="str">
        <x:v>佚名</x:v>
      </x:c>
      <x:c r="H31" s="100" t="str">
        <x:v>https://commons.wikimedia.org/wiki/File:The_Qianlong_Emperor_in_Buddhist_Dress.jpg</x:v>
      </x:c>
      <x:c r="I31" s="100" t="str">
        <x:v>https://upload.wikimedia.org/wikipedia/commons/thumb/f/f8/The_Qianlong_Emperor_in_Buddhist_Dress.jpg/500px-The_Qianlong_Emperor_in_Buddhist_Dress.jpg</x:v>
      </x:c>
      <x:c r="J31" s="100" t="str">
        <x:v>Public domain</x:v>
      </x:c>
      <x:c r="K31" s="100" t="str">
        <x:v>绿</x:v>
      </x:c>
      <x:c r="L31" s="100" t="str">
        <x:v>是</x:v>
      </x:c>
      <x:c r="M31" s="100" t="str">
        <x:v>是</x:v>
      </x:c>
      <x:c r="N31" s="100" t="str">
        <x:v>文件题名明确为乾隆佛装像</x:v>
      </x:c>
      <x:c r="O31" s="100" t="str">
        <x:v>2026-08-13</x:v>
      </x:c>
      <x:c r="P31" s="100" t="str">
        <x:v>其他真迹。不是朝服定妆，也不是普通生活照。</x:v>
      </x:c>
      <x:c r="Q31" s="100" t="str">
        <x:v>核普宁寺系统与满汉蒙藏题记</x:v>
      </x:c>
      <x:c r="R31" s="100" t="str">
        <x:v>其他真迹</x:v>
      </x:c>
      <x:c r="S31" s="100" t="str">
        <x:v>佛装；唐卡；多语题记；宗教化身</x:v>
      </x:c>
      <x:c r="T31" s="100" t="str">
        <x:v>乾隆以转轮王/文殊化身入画，是统治藏传佛教世界的视觉政治，不是便装写真。默认头像仍用朝服像。</x:v>
      </x:c>
      <x:c r="U31" s="100" t="str"/>
      <x:c r="V31" s="100" t="str"/>
      <x:c r="W31" s="100" t="str"/>
    </x:row>
    <x:row r="32" ht="52" customHeight="1">
      <x:c r="A32" s="100" t="str">
        <x:v>QH-V-E06C</x:v>
      </x:c>
      <x:c r="B32" s="100" t="str">
        <x:v>QH-E-06</x:v>
      </x:c>
      <x:c r="C32" s="100" t="str">
        <x:v>爱新觉罗·弘历</x:v>
      </x:c>
      <x:c r="D32" s="100" t="str">
        <x:v>乾隆帝狩猎图</x:v>
      </x:c>
      <x:c r="E32" s="100" t="str">
        <x:v>宫廷行乐/狩猎图</x:v>
      </x:c>
      <x:c r="F32" s="100" t="str">
        <x:v>乾隆时期</x:v>
      </x:c>
      <x:c r="G32" s="100" t="str">
        <x:v>清宫画家</x:v>
      </x:c>
      <x:c r="H32" s="100" t="str">
        <x:v>https://commons.wikimedia.org/wiki/File:Qianlong_emperor_hunting.jpg</x:v>
      </x:c>
      <x:c r="I32" s="100" t="str">
        <x:v>https://upload.wikimedia.org/wikipedia/commons/thumb/8/88/Qianlong_emperor_hunting.jpg/500px-Qianlong_emperor_hunting.jpg</x:v>
      </x:c>
      <x:c r="J32" s="100" t="str">
        <x:v>Public domain</x:v>
      </x:c>
      <x:c r="K32" s="100" t="str">
        <x:v>绿</x:v>
      </x:c>
      <x:c r="L32" s="100" t="str">
        <x:v>是</x:v>
      </x:c>
      <x:c r="M32" s="100" t="str">
        <x:v>是</x:v>
      </x:c>
      <x:c r="N32" s="100" t="str">
        <x:v>文件题名明确</x:v>
      </x:c>
      <x:c r="O32" s="100" t="str">
        <x:v>2026-08-13</x:v>
      </x:c>
      <x:c r="P32" s="100" t="str">
        <x:v>其他真迹。木兰秋狝视觉，不是朝会定妆。</x:v>
      </x:c>
      <x:c r="Q32" s="100" t="str">
        <x:v>核具体图卷名、地点与是否为郎世宁系统</x:v>
      </x:c>
      <x:c r="R32" s="100" t="str">
        <x:v>其他真迹</x:v>
      </x:c>
      <x:c r="S32" s="100" t="str">
        <x:v>狩猎；骑射；行乐；非朝服</x:v>
      </x:c>
      <x:c r="T32" s="100" t="str">
        <x:v>狩猎图把皇帝画成马上弯弓的满洲统治者，用来平衡朝服像的汉式礼仪面孔。它仍是宫廷制作，不是新闻摄影。</x:v>
      </x:c>
      <x:c r="U32" s="100" t="str"/>
      <x:c r="V32" s="100" t="str"/>
      <x:c r="W32" s="100" t="str"/>
    </x:row>
    <x:row r="33" ht="52" customHeight="1">
      <x:c r="A33" s="100" t="str">
        <x:v>QH-V-E06D</x:v>
      </x:c>
      <x:c r="B33" s="100" t="str">
        <x:v>QH-E-06</x:v>
      </x:c>
      <x:c r="C33" s="100" t="str">
        <x:v>爱新觉罗·弘历</x:v>
      </x:c>
      <x:c r="D33" s="100" t="str">
        <x:v>乾隆帝戎装骑马像</x:v>
      </x:c>
      <x:c r="E33" s="100" t="str">
        <x:v>宫廷戎装像</x:v>
      </x:c>
      <x:c r="F33" s="100" t="str">
        <x:v>乾隆时期</x:v>
      </x:c>
      <x:c r="G33" s="100" t="str">
        <x:v>郎世宁传统</x:v>
      </x:c>
      <x:c r="H33" s="100" t="str">
        <x:v>https://commons.wikimedia.org/wiki/File:The_Qianlong_Emperor_in_Ceremonial_Armour_on_Horseback.jpg</x:v>
      </x:c>
      <x:c r="I33" s="100" t="str">
        <x:v>https://upload.wikimedia.org/wikipedia/commons/thumb/d/d4/The_Qianlong_Emperor_in_Ceremonial_Armour_on_Horseback.jpg/500px-The_Qianlong_Emperor_in_Ceremonial_Armour_on_Horseback.jpg</x:v>
      </x:c>
      <x:c r="J33" s="100" t="str">
        <x:v>Public domain</x:v>
      </x:c>
      <x:c r="K33" s="100" t="str">
        <x:v>绿</x:v>
      </x:c>
      <x:c r="L33" s="100" t="str">
        <x:v>是</x:v>
      </x:c>
      <x:c r="M33" s="100" t="str">
        <x:v>是</x:v>
      </x:c>
      <x:c r="N33" s="100" t="str">
        <x:v>文件题名明确</x:v>
      </x:c>
      <x:c r="O33" s="100" t="str">
        <x:v>2026-08-13</x:v>
      </x:c>
      <x:c r="P33" s="100" t="str">
        <x:v>其他真迹。大阅/戎装礼仪像。</x:v>
      </x:c>
      <x:c r="Q33" s="100" t="str">
        <x:v>核原作馆藏与是否为大阅图之一</x:v>
      </x:c>
      <x:c r="R33" s="100" t="str">
        <x:v>其他真迹</x:v>
      </x:c>
      <x:c r="S33" s="100" t="str">
        <x:v>盔甲；骑马；大阅；西洋画法</x:v>
      </x:c>
      <x:c r="T33" s="100" t="str">
        <x:v>戎装骑马像展示兵权与满洲武功，和明黄朝服像是一套身份的两面。面部写实来自郎世宁系统，仍是礼仪绘画。</x:v>
      </x:c>
      <x:c r="U33" s="100" t="str"/>
      <x:c r="V33" s="100" t="str"/>
      <x:c r="W33" s="100" t="str"/>
    </x:row>
    <x:row r="34" ht="52" customHeight="1">
      <x:c r="A34" s="100" t="str">
        <x:v>QH-V-E06E</x:v>
      </x:c>
      <x:c r="B34" s="100" t="str">
        <x:v>QH-E-06</x:v>
      </x:c>
      <x:c r="C34" s="100" t="str">
        <x:v>爱新觉罗·弘历</x:v>
      </x:c>
      <x:c r="D34" s="100" t="str">
        <x:v>乾隆御书兰亭碑</x:v>
      </x:c>
      <x:c r="E34" s="100" t="str">
        <x:v>御笔碑刻</x:v>
      </x:c>
      <x:c r="F34" s="100" t="str">
        <x:v>乾隆年间书；今存碑刻</x:v>
      </x:c>
      <x:c r="G34" s="100" t="str">
        <x:v>弘历书；照片依 Commons 文件页署名</x:v>
      </x:c>
      <x:c r="H34" s="100" t="str">
        <x:v>https://commons.wikimedia.org/wiki/File:Emperor_Qianlong_Lanting.JPG</x:v>
      </x:c>
      <x:c r="I34" s="100" t="str">
        <x:v>https://upload.wikimedia.org/wikipedia/commons/thumb/a/a1/Emperor_Qianlong_Lanting.JPG/500px-Emperor_Qianlong_Lanting.JPG</x:v>
      </x:c>
      <x:c r="J34" s="100" t="str">
        <x:v>CC BY 3.0</x:v>
      </x:c>
      <x:c r="K34" s="100" t="str">
        <x:v>绿</x:v>
      </x:c>
      <x:c r="L34" s="100" t="str">
        <x:v>是</x:v>
      </x:c>
      <x:c r="M34" s="100" t="str">
        <x:v>是</x:v>
      </x:c>
      <x:c r="N34" s="100" t="str">
        <x:v>碑刻题为乾隆御书兰亭系统</x:v>
      </x:c>
      <x:c r="O34" s="100" t="str">
        <x:v>2026-08-13</x:v>
      </x:c>
      <x:c r="P34" s="100" t="str">
        <x:v>御笔书法。照片依 CC BY 3.0 署名。</x:v>
      </x:c>
      <x:c r="Q34" s="100" t="str">
        <x:v>核立碑地点与底本</x:v>
      </x:c>
      <x:c r="R34" s="100" t="str">
        <x:v>御笔书法</x:v>
      </x:c>
      <x:c r="S34" s="100" t="str">
        <x:v>行书；兰亭；碑刻；御书</x:v>
      </x:c>
      <x:c r="T34" s="100" t="str">
        <x:v>乾隆大量题跋、临帖、刻石。此碑是御书传播层，不是某一通纸本手卷本身。与朝服像并列，可看到皇帝同时经营武功、佛装和书圣谱系。</x:v>
      </x:c>
      <x:c r="U34" s="100" t="str">
        <x:v>碑文为《兰亭序》临写系统。不在此整篇录文。</x:v>
      </x:c>
      <x:c r="V34" s="100" t="str"/>
      <x:c r="W34" s="100" t="str"/>
    </x:row>
    <x:row r="35" ht="52" customHeight="1">
      <x:c r="A35" s="100" t="str">
        <x:v>QH-V-E06F</x:v>
      </x:c>
      <x:c r="B35" s="100" t="str">
        <x:v>QH-E-06</x:v>
      </x:c>
      <x:c r="C35" s="100" t="str">
        <x:v>爱新觉罗·弘历</x:v>
      </x:c>
      <x:c r="D35" s="100" t="str">
        <x:v>乾隆御制萨尔浒之战书事（文本）</x:v>
      </x:c>
      <x:c r="E35" s="100" t="str">
        <x:v>御制史论／法书底本</x:v>
      </x:c>
      <x:c r="F35" s="100" t="str">
        <x:v>乾隆四十一年前后</x:v>
      </x:c>
      <x:c r="G35" s="100" t="str">
        <x:v>爱新觉罗·弘历</x:v>
      </x:c>
      <x:c r="H35" s="100" t="str">
        <x:v>https://digitalarchive.npm.gov.tw/Collection/Detail/1545?dep=P</x:v>
      </x:c>
      <x:c r="I35" s="100" t="str"/>
      <x:c r="J35" s="100" t="str">
        <x:v>馆藏数字影像待逐项核权</x:v>
      </x:c>
      <x:c r="K35" s="100" t="str">
        <x:v>黄</x:v>
      </x:c>
      <x:c r="L35" s="100" t="str">
        <x:v>仅保存短引文</x:v>
      </x:c>
      <x:c r="M35" s="100" t="str">
        <x:v>仅外链</x:v>
      </x:c>
      <x:c r="N35" s="100" t="str">
        <x:v>文本作者为乾隆；书册传本有永璇书写</x:v>
      </x:c>
      <x:c r="O35" s="100" t="str">
        <x:v>2026-08-13</x:v>
      </x:c>
      <x:c r="P35" s="100" t="str">
        <x:v>黄色资源。短引文可展示，高清书页外链台北故宫。</x:v>
      </x:c>
      <x:c r="Q35" s="100" t="str">
        <x:v>对照《清高宗实录》与沈阳萨尔浒碑</x:v>
      </x:c>
      <x:c r="R35" s="100" t="str">
        <x:v>御笔书法</x:v>
      </x:c>
      <x:c r="S35" s="100" t="str">
        <x:v>御制文；萨尔浒；追述开国；法书</x:v>
      </x:c>
      <x:c r="T35" s="100" t="str">
        <x:v>乾隆不但写战争，还立碑。这是对努尔哈赤萨尔浒之战的又一次官方记忆。</x:v>
      </x:c>
      <x:c r="U35" s="100" t="str">
        <x:v>御制己未岁我太祖大破明师于萨尔浒山之战书事。盖闻国之将兴必有祯祥。然祯祥之赐由乎天而致。天之赐则由乎人。予小子于己未岁我太祖大破明师于萨尔浒之战，益信此理之不爽也。己未二月，明帝命杨镐、杜松、刘綎等统兵二十万号四十万来攻。</x:v>
      </x:c>
      <x:c r="V35" s="100" t="str"/>
      <x:c r="W35" s="100" t="str"/>
    </x:row>
    <x:row r="36" ht="52" customHeight="1">
      <x:c r="A36" s="100" t="str">
        <x:v>QH-V-E06G</x:v>
      </x:c>
      <x:c r="B36" s="100" t="str">
        <x:v>QH-E-06</x:v>
      </x:c>
      <x:c r="C36" s="100" t="str">
        <x:v>爱新觉罗·弘历</x:v>
      </x:c>
      <x:c r="D36" s="100" t="str">
        <x:v>乾隆朝宫中档奏折（原件入口）</x:v>
      </x:c>
      <x:c r="E36" s="100" t="str">
        <x:v>朱批奏折原件</x:v>
      </x:c>
      <x:c r="F36" s="100" t="str">
        <x:v>乾隆朝</x:v>
      </x:c>
      <x:c r="G36" s="100" t="str">
        <x:v>具奏官员；弘历朱批</x:v>
      </x:c>
      <x:c r="H36" s="100" t="str">
        <x:v>https://qingarchives.npm.edu.tw/index.php?act=Landing%2Finformation</x:v>
      </x:c>
      <x:c r="I36" s="100" t="str"/>
      <x:c r="J36" s="100" t="str">
        <x:v>馆藏影像待逐项核权</x:v>
      </x:c>
      <x:c r="K36" s="100" t="str">
        <x:v>黄</x:v>
      </x:c>
      <x:c r="L36" s="100" t="str">
        <x:v>仅保存档号与短引文</x:v>
      </x:c>
      <x:c r="M36" s="100" t="str">
        <x:v>仅外链</x:v>
      </x:c>
      <x:c r="N36" s="100" t="str">
        <x:v>台北故宫清档系统可检索乾隆朝奏折；本条不嵌入原图</x:v>
      </x:c>
      <x:c r="O36" s="100" t="str">
        <x:v>2026-08-13</x:v>
      </x:c>
      <x:c r="P36" s="100" t="str">
        <x:v>黄色资源。能浏览不等于可复制。点原站核原折与朱批。</x:v>
      </x:c>
      <x:c r="Q36" s="100" t="str">
        <x:v>为乾隆朝选定若干高优先级折件并逐件登录档号与朱批全文</x:v>
      </x:c>
      <x:c r="R36" s="100" t="str">
        <x:v>奏折朱批</x:v>
      </x:c>
      <x:c r="S36" s="100" t="str">
        <x:v>宫中档；朱批；原件外链；不镜像</x:v>
      </x:c>
      <x:c r="T36" s="100" t="str">
        <x:v>乾隆朝宫中档数量极大。具体某折的朱批，要打开原件看。</x:v>
      </x:c>
      <x:c r="U36" s="100" t="str">
        <x:v>常见朱批形态包括「览」「知道了」及针对该折的具体指示。在未打开指定原折前，不编造某件奏折的朱批全文。请在台北故宫清档系统按人名、时间检索原件。</x:v>
      </x:c>
      <x:c r="V36" s="100" t="str"/>
      <x:c r="W36" s="100" t="str"/>
    </x:row>
    <x:row r="37" ht="52" customHeight="1">
      <x:c r="A37" s="100" t="str">
        <x:v>QH-V-E04E</x:v>
      </x:c>
      <x:c r="B37" s="100" t="str">
        <x:v>QH-E-04</x:v>
      </x:c>
      <x:c r="C37" s="100" t="str">
        <x:v>爱新觉罗·玄烨</x:v>
      </x:c>
      <x:c r="D37" s="100" t="str">
        <x:v>康熙行书九日对菊诗轴</x:v>
      </x:c>
      <x:c r="E37" s="100" t="str">
        <x:v>御笔纸本</x:v>
      </x:c>
      <x:c r="F37" s="100" t="str">
        <x:v>康熙年间</x:v>
      </x:c>
      <x:c r="G37" s="100" t="str">
        <x:v>玄烨</x:v>
      </x:c>
      <x:c r="H37" s="100" t="str">
        <x:v>https://commons.wikimedia.org/wiki/File:%E7%8E%84%E7%83%A8%E8%A1%8C%E4%B9%A6%E4%B9%9D%E6%97%A5%E5%AF%B9%E8%8F%8A%E8%AF%97%E8%BD%B4.png</x:v>
      </x:c>
      <x:c r="I37" s="100" t="str">
        <x:v>https://upload.wikimedia.org/wikipedia/commons/thumb/e/e9/%E7%8E%84%E7%83%A8%E8%A1%8C%E4%B9%A6%E4%B9%9D%E6%97%A5%E5%AF%B9%E8%8F%8A%E8%AF%97%E8%BD%B4.png/960px-%E7%8E%84%E7%83%A8%E8%A1%8C%E4%B9%A6%E4%B9%9D%E6%97%A5%E5%AF%B9%E8%8F%8A%E8%AF%97%E8%BD%B4.png</x:v>
      </x:c>
      <x:c r="J37" s="100" t="str">
        <x:v>Public domain</x:v>
      </x:c>
      <x:c r="K37" s="100" t="str">
        <x:v>绿</x:v>
      </x:c>
      <x:c r="L37" s="100" t="str">
        <x:v>是</x:v>
      </x:c>
      <x:c r="M37" s="100" t="str">
        <x:v>是</x:v>
      </x:c>
      <x:c r="N37" s="100" t="str">
        <x:v>文件题名作玄烨行书九日对菊诗轴</x:v>
      </x:c>
      <x:c r="O37" s="100" t="str">
        <x:v>2026-08-13</x:v>
      </x:c>
      <x:c r="P37" s="100" t="str">
        <x:v>御笔书法。纸本立轴，不是碑刻。</x:v>
      </x:c>
      <x:c r="Q37" s="100" t="str">
        <x:v>馆藏号、书写年份与诗题原文</x:v>
      </x:c>
      <x:c r="R37" s="100" t="str">
        <x:v>御笔书法</x:v>
      </x:c>
      <x:c r="S37" s="100" t="str">
        <x:v>行书；纸本；九日对菊；立轴</x:v>
      </x:c>
      <x:c r="T37" s="100" t="str">
        <x:v>朝服像是坐着的。这张是他写字。重阳对菊是很常见的题目，墨迹比兰亭碑更接近手稿。碑是刻出来的，纸上才是这一笔。</x:v>
      </x:c>
      <x:c r="U37" s="100" t="str">
        <x:v>文件题《九日对菊》诗轴。全文以轴上墨迹为准，此处不整篇录。</x:v>
      </x:c>
      <x:c r="V37" s="100" t="str"/>
      <x:c r="W37" s="100" t="str"/>
    </x:row>
    <x:row r="38" ht="52" customHeight="1">
      <x:c r="A38" s="100" t="str">
        <x:v>QH-V-E05D</x:v>
      </x:c>
      <x:c r="B38" s="100" t="str">
        <x:v>QH-E-05</x:v>
      </x:c>
      <x:c r="C38" s="100" t="str">
        <x:v>爱新觉罗·胤禛</x:v>
      </x:c>
      <x:c r="D38" s="100" t="str">
        <x:v>雍正行书苏轼赤壁怀古词轴</x:v>
      </x:c>
      <x:c r="E38" s="100" t="str">
        <x:v>御笔纸本</x:v>
      </x:c>
      <x:c r="F38" s="100" t="str">
        <x:v>雍正年间</x:v>
      </x:c>
      <x:c r="G38" s="100" t="str">
        <x:v>胤禛</x:v>
      </x:c>
      <x:c r="H38" s="100" t="str">
        <x:v>https://commons.wikimedia.org/wiki/File:%E8%83%A4%E7%A6%9B%E8%A1%8C%E4%B9%A6%E8%8B%8F%E8%BD%BC%E8%B5%A4%E5%A3%81%E6%80%80%E5%8F%A4%E8%AF%8D%E8%BD%B4.png</x:v>
      </x:c>
      <x:c r="I38" s="100" t="str">
        <x:v>https://upload.wikimedia.org/wikipedia/commons/thumb/9/97/%E8%83%A4%E7%A6%9B%E8%A1%8C%E4%B9%A6%E8%8B%8F%E8%BD%BC%E8%B5%A4%E5%A3%81%E6%80%80%E5%8F%A4%E8%AF%8D%E8%BD%B4.png/960px-%E8%83%A4%E7%A6%9B%E8%A1%8C%E4%B9%A6%E8%8B%8F%E8%BD%BC%E8%B5%A4%E5%A3%81%E6%80%80%E5%8F%A4%E8%AF%8D%E8%BD%B4.png</x:v>
      </x:c>
      <x:c r="J38" s="100" t="str">
        <x:v>Public domain</x:v>
      </x:c>
      <x:c r="K38" s="100" t="str">
        <x:v>绿</x:v>
      </x:c>
      <x:c r="L38" s="100" t="str">
        <x:v>是</x:v>
      </x:c>
      <x:c r="M38" s="100" t="str">
        <x:v>是</x:v>
      </x:c>
      <x:c r="N38" s="100" t="str">
        <x:v>文件题名作胤禛行书苏轼赤壁怀古词轴</x:v>
      </x:c>
      <x:c r="O38" s="100" t="str">
        <x:v>2026-08-13</x:v>
      </x:c>
      <x:c r="P38" s="100" t="str">
        <x:v>御笔书法。写的是苏轼的词，不是雍正自己作的。</x:v>
      </x:c>
      <x:c r="Q38" s="100" t="str">
        <x:v>馆藏号与书写年份</x:v>
      </x:c>
      <x:c r="R38" s="100" t="str">
        <x:v>御笔书法</x:v>
      </x:c>
      <x:c r="S38" s="100" t="str">
        <x:v>行书；纸本；赤壁怀古；苏轼词</x:v>
      </x:c>
      <x:c r="T38" s="100" t="str">
        <x:v>雍正以朱批出名。闲下来这张轴写的是「大江东去」。词是苏轼的，字是胤禛的。不要把这张轴读成他在赤壁打过仗。</x:v>
      </x:c>
      <x:c r="U38" s="100" t="str">
        <x:v>临苏轼《念奴娇·赤壁怀古》。开篇「大江东去」是苏轼原词。全文以轴为准。</x:v>
      </x:c>
      <x:c r="V38" s="100" t="str"/>
      <x:c r="W38" s="100" t="str"/>
    </x:row>
    <x:row r="39" ht="52" customHeight="1">
      <x:c r="A39" s="100" t="str">
        <x:v>QH-V-E05E</x:v>
      </x:c>
      <x:c r="B39" s="100" t="str">
        <x:v>QH-E-05</x:v>
      </x:c>
      <x:c r="C39" s="100" t="str">
        <x:v>爱新觉罗·胤禛</x:v>
      </x:c>
      <x:c r="D39" s="100" t="str">
        <x:v>雍正御笔「中正仁和」匾</x:v>
      </x:c>
      <x:c r="E39" s="100" t="str">
        <x:v>御笔匾额照片</x:v>
      </x:c>
      <x:c r="F39" s="100" t="str">
        <x:v>雍正年间书；照片2007</x:v>
      </x:c>
      <x:c r="G39" s="100" t="str">
        <x:v>胤禛书；Gisling 摄影</x:v>
      </x:c>
      <x:c r="H39" s="100" t="str">
        <x:v>https://commons.wikimedia.org/wiki/File:%E9%9B%8D%E6%AD%A3%E5%BE%A1%E7%AC%94%E4%B8%AD%E6%AD%A3%E4%BB%81%E5%92%8C%E5%8C%BE.JPG</x:v>
      </x:c>
      <x:c r="I39" s="100" t="str">
        <x:v>https://upload.wikimedia.org/wikipedia/commons/7/72/%E9%9B%8D%E6%AD%A3%E5%BE%A1%E7%AC%94%E4%B8%AD%E6%AD%A3%E4%BB%81%E5%92%8C%E5%8C%BE.JPG</x:v>
      </x:c>
      <x:c r="J39" s="100" t="str">
        <x:v>CC BY-SA 3.0</x:v>
      </x:c>
      <x:c r="K39" s="100" t="str">
        <x:v>绿</x:v>
      </x:c>
      <x:c r="L39" s="100" t="str">
        <x:v>是</x:v>
      </x:c>
      <x:c r="M39" s="100" t="str">
        <x:v>是</x:v>
      </x:c>
      <x:c r="N39" s="100" t="str">
        <x:v>文件题雍正御笔中正仁和匾</x:v>
      </x:c>
      <x:c r="O39" s="100" t="str">
        <x:v>2026-08-13</x:v>
      </x:c>
      <x:c r="P39" s="100" t="str">
        <x:v>御笔匾额。养心殿常见四字。照片须署名。</x:v>
      </x:c>
      <x:c r="Q39" s="100" t="str">
        <x:v>原匾是否仍在养心殿原位</x:v>
      </x:c>
      <x:c r="R39" s="100" t="str">
        <x:v>御笔书法</x:v>
      </x:c>
      <x:c r="S39" s="100" t="str">
        <x:v>匾额；中正仁和；养心殿；四字</x:v>
      </x:c>
      <x:c r="T39" s="100" t="str">
        <x:v>四个字挂在养心殿里，是他给自己定的调门。朱批是私下写给大臣的，匾是每天抬头看见的。</x:v>
      </x:c>
      <x:c r="U39" s="100" t="str">
        <x:v>中正仁和</x:v>
      </x:c>
      <x:c r="V39" s="100" t="str"/>
      <x:c r="W39" s="100" t="str"/>
    </x:row>
    <x:row r="40" ht="52" customHeight="1">
      <x:c r="A40" s="100" t="str">
        <x:v>QH-V-E06H</x:v>
      </x:c>
      <x:c r="B40" s="100" t="str">
        <x:v>QH-E-06</x:v>
      </x:c>
      <x:c r="C40" s="100" t="str">
        <x:v>爱新觉罗·弘历</x:v>
      </x:c>
      <x:c r="D40" s="100" t="str">
        <x:v>乾隆行书「三希堂」匾</x:v>
      </x:c>
      <x:c r="E40" s="100" t="str">
        <x:v>御笔匾额</x:v>
      </x:c>
      <x:c r="F40" s="100" t="str">
        <x:v>乾隆年间</x:v>
      </x:c>
      <x:c r="G40" s="100" t="str">
        <x:v>弘历</x:v>
      </x:c>
      <x:c r="H40" s="100" t="str">
        <x:v>https://commons.wikimedia.org/wiki/File:%E5%BC%98%E5%8E%86%E8%A1%8C%E4%B9%A6%22%E4%B8%89%E5%B8%8C%E5%A0%82%22%E4%B8%89%E5%AD%97%E5%8C%BE.png</x:v>
      </x:c>
      <x:c r="I40" s="100" t="str">
        <x:v>https://upload.wikimedia.org/wikipedia/commons/thumb/1/10/%E5%BC%98%E5%8E%86%E8%A1%8C%E4%B9%A6%22%E4%B8%89%E5%B8%8C%E5%A0%82%22%E4%B8%89%E5%AD%97%E5%8C%BE.png/960px-%E5%BC%98%E5%8E%86%E8%A1%8C%E4%B9%A6%22%E4%B8%89%E5%B8%8C%E5%A0%82%22%E4%B8%89%E5%AD%97%E5%8C%BE.png</x:v>
      </x:c>
      <x:c r="J40" s="100" t="str">
        <x:v>Public domain</x:v>
      </x:c>
      <x:c r="K40" s="100" t="str">
        <x:v>绿</x:v>
      </x:c>
      <x:c r="L40" s="100" t="str">
        <x:v>是</x:v>
      </x:c>
      <x:c r="M40" s="100" t="str">
        <x:v>是</x:v>
      </x:c>
      <x:c r="N40" s="100" t="str">
        <x:v>文件题名作弘历行书三希堂三字匾</x:v>
      </x:c>
      <x:c r="O40" s="100" t="str">
        <x:v>2026-08-13</x:v>
      </x:c>
      <x:c r="P40" s="100" t="str">
        <x:v>御笔。三希堂因收藏三件法书得名。</x:v>
      </x:c>
      <x:c r="Q40" s="100" t="str">
        <x:v>原匾位置与三希法书的对应</x:v>
      </x:c>
      <x:c r="R40" s="100" t="str">
        <x:v>御笔书法</x:v>
      </x:c>
      <x:c r="S40" s="100" t="str">
        <x:v>行书；三希堂；三字匾</x:v>
      </x:c>
      <x:c r="T40" s="100" t="str">
        <x:v>就三个字。他把自己最看重的三件法书，收进这个名字里。兰亭碑是临古人，这三字是给自己的书房命名。</x:v>
      </x:c>
      <x:c r="U40" s="100" t="str">
        <x:v>三希堂</x:v>
      </x:c>
      <x:c r="V40" s="100" t="str"/>
      <x:c r="W40" s="100" t="str"/>
    </x:row>
    <x:row r="41" ht="52" customHeight="1">
      <x:c r="A41" s="100" t="str">
        <x:v>QH-V-E07B</x:v>
      </x:c>
      <x:c r="B41" s="100" t="str">
        <x:v>QH-E-07</x:v>
      </x:c>
      <x:c r="C41" s="100" t="str">
        <x:v>爱新觉罗·颙琰</x:v>
      </x:c>
      <x:c r="D41" s="100" t="str">
        <x:v>嘉庆朝朱批奏折</x:v>
      </x:c>
      <x:c r="E41" s="100" t="str">
        <x:v>朱批奏折</x:v>
      </x:c>
      <x:c r="F41" s="100" t="str">
        <x:v>嘉庆朝</x:v>
      </x:c>
      <x:c r="G41" s="100" t="str">
        <x:v>具奏官员；颙琰朱批</x:v>
      </x:c>
      <x:c r="H41" s="100" t="str">
        <x:v>https://commons.wikimedia.org/wiki/File:%E6%B8%85%E6%9C%9D%E7%9A%87%E5%B8%9D%E7%A1%83%E6%89%B9%E5%A5%8F%E6%91%BA_-_Jiaqing_Emperor.jpg</x:v>
      </x:c>
      <x:c r="I41" s="100" t="str">
        <x:v>https://upload.wikimedia.org/wikipedia/commons/4/42/%E6%B8%85%E6%9C%9D%E7%9A%87%E5%B8%9D%E7%A1%83%E6%89%B9%E5%A5%8F%E6%91%BA_-_Jiaqing_Emperor.jpg</x:v>
      </x:c>
      <x:c r="J41" s="100" t="str">
        <x:v>Public domain</x:v>
      </x:c>
      <x:c r="K41" s="100" t="str">
        <x:v>绿</x:v>
      </x:c>
      <x:c r="L41" s="100" t="str">
        <x:v>是</x:v>
      </x:c>
      <x:c r="M41" s="100" t="str">
        <x:v>是</x:v>
      </x:c>
      <x:c r="N41" s="100" t="str">
        <x:v>文件页标为嘉庆朝朱批奏折；档号待核</x:v>
      </x:c>
      <x:c r="O41" s="100" t="str">
        <x:v>2026-08-13</x:v>
      </x:c>
      <x:c r="P41" s="100" t="str">
        <x:v>朱批原件照片。红笔是皇帝的，黑字是臣工的。</x:v>
      </x:c>
      <x:c r="Q41" s="100" t="str">
        <x:v>档号、具奏人、朱批全文</x:v>
      </x:c>
      <x:c r="R41" s="100" t="str">
        <x:v>奏折朱批</x:v>
      </x:c>
      <x:c r="S41" s="100" t="str">
        <x:v>朱批；红笔；奏折；嘉庆</x:v>
      </x:c>
      <x:c r="T41" s="100" t="str">
        <x:v>朝服读不出训政，也读不出诛和珅。折子上的红笔，才是他每天在干的事。具体批了哪几个字，对着图读，不在这里编。</x:v>
      </x:c>
      <x:c r="U41" s="100" t="str">
        <x:v>朱笔批在折面。具体字以原件为准。常见只有「览」「知道了」。</x:v>
      </x:c>
      <x:c r="V41" s="100" t="str"/>
      <x:c r="W41" s="100" t="str"/>
    </x:row>
    <x:row r="42" ht="52" customHeight="1">
      <x:c r="A42" s="100" t="str">
        <x:v>QH-V-E08C</x:v>
      </x:c>
      <x:c r="B42" s="100" t="str">
        <x:v>QH-E-08</x:v>
      </x:c>
      <x:c r="C42" s="100" t="str">
        <x:v>爱新觉罗·旻宁</x:v>
      </x:c>
      <x:c r="D42" s="100" t="str">
        <x:v>道光朝朱批奏折</x:v>
      </x:c>
      <x:c r="E42" s="100" t="str">
        <x:v>朱批奏折</x:v>
      </x:c>
      <x:c r="F42" s="100" t="str">
        <x:v>道光朝</x:v>
      </x:c>
      <x:c r="G42" s="100" t="str">
        <x:v>具奏官员；旻宁朱批</x:v>
      </x:c>
      <x:c r="H42" s="100" t="str">
        <x:v>https://commons.wikimedia.org/wiki/File:%E6%B8%85%E6%9C%9D%E7%9A%87%E5%B8%9D%E7%A1%83%E6%89%B9%E5%A5%8F%E6%91%BA_-_Daoguang_Emperor_01.jpg</x:v>
      </x:c>
      <x:c r="I42" s="100" t="str">
        <x:v>https://upload.wikimedia.org/wikipedia/commons/5/56/%E6%B8%85%E6%9C%9D%E7%9A%87%E5%B8%9D%E7%A1%83%E6%89%B9%E5%A5%8F%E6%91%BA_-_Daoguang_Emperor_01.jpg</x:v>
      </x:c>
      <x:c r="J42" s="100" t="str">
        <x:v>Public domain</x:v>
      </x:c>
      <x:c r="K42" s="100" t="str">
        <x:v>绿</x:v>
      </x:c>
      <x:c r="L42" s="100" t="str">
        <x:v>是</x:v>
      </x:c>
      <x:c r="M42" s="100" t="str">
        <x:v>是</x:v>
      </x:c>
      <x:c r="N42" s="100" t="str">
        <x:v>文件页标为道光朝朱批奏折；档号待核</x:v>
      </x:c>
      <x:c r="O42" s="100" t="str">
        <x:v>2026-08-13</x:v>
      </x:c>
      <x:c r="P42" s="100" t="str">
        <x:v>朱批原件照片。红笔是皇帝的。</x:v>
      </x:c>
      <x:c r="Q42" s="100" t="str">
        <x:v>档号、具奏人、朱批全文</x:v>
      </x:c>
      <x:c r="R42" s="100" t="str">
        <x:v>奏折朱批</x:v>
      </x:c>
      <x:c r="S42" s="100" t="str">
        <x:v>朱批；红笔；奏折；道光</x:v>
      </x:c>
      <x:c r="T42" s="100" t="str">
        <x:v>朝服是定妆。园居像是生活。红笔才是他每天在折子上留下的字。禁烟、条约不在这张折的题名里，要对着档号另查。</x:v>
      </x:c>
      <x:c r="U42" s="100" t="str">
        <x:v>朱笔批在折面。具体字以原件为准。</x:v>
      </x:c>
      <x:c r="V42" s="100" t="str"/>
      <x:c r="W42" s="100" t="str"/>
    </x:row>
    <x:row r="43" ht="52" customHeight="1">
      <x:c r="A43" s="100" t="str">
        <x:v>QH-V-E09C</x:v>
      </x:c>
      <x:c r="B43" s="100" t="str">
        <x:v>QH-E-09</x:v>
      </x:c>
      <x:c r="C43" s="100" t="str">
        <x:v>爱新觉罗·奕詝</x:v>
      </x:c>
      <x:c r="D43" s="100" t="str">
        <x:v>咸丰朝朱批奏折</x:v>
      </x:c>
      <x:c r="E43" s="100" t="str">
        <x:v>朱批奏折</x:v>
      </x:c>
      <x:c r="F43" s="100" t="str">
        <x:v>咸丰朝</x:v>
      </x:c>
      <x:c r="G43" s="100" t="str">
        <x:v>具奏官员；奕詝朱批</x:v>
      </x:c>
      <x:c r="H43" s="100" t="str">
        <x:v>https://commons.wikimedia.org/wiki/File:%E6%B8%85%E6%9C%9D%E7%9A%87%E5%B8%9D%E7%A1%83%E6%89%B9%E5%A5%8F%E6%91%BA_-_Xianfeng_Emperor_01.jpg</x:v>
      </x:c>
      <x:c r="I43" s="100" t="str">
        <x:v>https://upload.wikimedia.org/wikipedia/commons/c/c0/%E6%B8%85%E6%9C%9D%E7%9A%87%E5%B8%9D%E7%A1%83%E6%89%B9%E5%A5%8F%E6%91%BA_-_Xianfeng_Emperor_01.jpg</x:v>
      </x:c>
      <x:c r="J43" s="100" t="str">
        <x:v>Public domain</x:v>
      </x:c>
      <x:c r="K43" s="100" t="str">
        <x:v>绿</x:v>
      </x:c>
      <x:c r="L43" s="100" t="str">
        <x:v>是</x:v>
      </x:c>
      <x:c r="M43" s="100" t="str">
        <x:v>是</x:v>
      </x:c>
      <x:c r="N43" s="100" t="str">
        <x:v>文件页标为咸丰朝朱批奏折；档号待核</x:v>
      </x:c>
      <x:c r="O43" s="100" t="str">
        <x:v>2026-08-13</x:v>
      </x:c>
      <x:c r="P43" s="100" t="str">
        <x:v>朱批原件照片。</x:v>
      </x:c>
      <x:c r="Q43" s="100" t="str">
        <x:v>档号、具奏人、朱批全文</x:v>
      </x:c>
      <x:c r="R43" s="100" t="str">
        <x:v>奏折朱批</x:v>
      </x:c>
      <x:c r="S43" s="100" t="str">
        <x:v>朱批；红笔；奏折；咸丰</x:v>
      </x:c>
      <x:c r="T43" s="100" t="str">
        <x:v>朝服里没有圆明园。折子上才有军务和日常。红笔是他的，不要把后来的评价写进这几个字里。</x:v>
      </x:c>
      <x:c r="U43" s="100" t="str">
        <x:v>朱笔批在折面。具体字以原件为准。</x:v>
      </x:c>
      <x:c r="V43" s="100" t="str"/>
      <x:c r="W43" s="100" t="str"/>
    </x:row>
    <x:row r="44" ht="52" customHeight="1">
      <x:c r="A44" s="100" t="str">
        <x:v>QH-V-E10C</x:v>
      </x:c>
      <x:c r="B44" s="100" t="str">
        <x:v>QH-E-10</x:v>
      </x:c>
      <x:c r="C44" s="100" t="str">
        <x:v>爱新觉罗·载淳</x:v>
      </x:c>
      <x:c r="D44" s="100" t="str">
        <x:v>载湉入承大统诏（同治十三年）</x:v>
      </x:c>
      <x:c r="E44" s="100" t="str">
        <x:v>上谕／诏书</x:v>
      </x:c>
      <x:c r="F44" s="100" t="str">
        <x:v>1874</x:v>
      </x:c>
      <x:c r="G44" s="100" t="str">
        <x:v>清廷</x:v>
      </x:c>
      <x:c r="H44" s="100" t="str">
        <x:v>https://commons.wikimedia.org/wiki/File:Edict_of_Tongzhi_Emperor_in_1874.jpg</x:v>
      </x:c>
      <x:c r="I44" s="100" t="str">
        <x:v>https://upload.wikimedia.org/wikipedia/commons/thumb/2/2f/Edict_of_Tongzhi_Emperor_in_1874.jpg/960px-Edict_of_Tongzhi_Emperor_in_1874.jpg</x:v>
      </x:c>
      <x:c r="J44" s="100" t="str">
        <x:v>Public domain</x:v>
      </x:c>
      <x:c r="K44" s="100" t="str">
        <x:v>绿</x:v>
      </x:c>
      <x:c r="L44" s="100" t="str">
        <x:v>是</x:v>
      </x:c>
      <x:c r="M44" s="100" t="str">
        <x:v>是</x:v>
      </x:c>
      <x:c r="N44" s="100" t="str">
        <x:v>文件中文题「载湉入承大统诏」；同治十三年</x:v>
      </x:c>
      <x:c r="O44" s="100" t="str">
        <x:v>2026-08-13</x:v>
      </x:c>
      <x:c r="P44" s="100" t="str">
        <x:v>诏书原件照片。不是同治亲笔诗稿，是朝廷文书。</x:v>
      </x:c>
      <x:c r="Q44" s="100" t="str">
        <x:v>原件档号；两宫懿旨与诏书形成过程</x:v>
      </x:c>
      <x:c r="R44" s="100" t="str">
        <x:v>奏折朱批</x:v>
      </x:c>
      <x:c r="S44" s="100" t="str">
        <x:v>诏书；入承大统；载湉；同治十三年</x:v>
      </x:c>
      <x:c r="T44" s="100" t="str">
        <x:v>同治没有儿子。这份诏让堂弟载湉来当皇帝，也就是后来的光绪。六岁皇帝的朝服像读不出这件事，文书里才有。</x:v>
      </x:c>
      <x:c r="U44" s="100" t="str">
        <x:v>文件题「载湉入承大统诏」。全文以原件为准。</x:v>
      </x:c>
      <x:c r="V44" s="100" t="str"/>
      <x:c r="W44" s="100" t="str"/>
    </x:row>
    <x:row r="45" ht="52" customHeight="1">
      <x:c r="A45" s="100" t="str">
        <x:v>QH-V-E11C</x:v>
      </x:c>
      <x:c r="B45" s="100" t="str">
        <x:v>QH-E-11</x:v>
      </x:c>
      <x:c r="C45" s="100" t="str">
        <x:v>爱新觉罗·载湉</x:v>
      </x:c>
      <x:c r="D45" s="100" t="str">
        <x:v>光绪朝朱批奏折</x:v>
      </x:c>
      <x:c r="E45" s="100" t="str">
        <x:v>朱批奏折</x:v>
      </x:c>
      <x:c r="F45" s="100" t="str">
        <x:v>光绪朝</x:v>
      </x:c>
      <x:c r="G45" s="100" t="str">
        <x:v>具奏官员；载湉朱批</x:v>
      </x:c>
      <x:c r="H45" s="100" t="str">
        <x:v>https://commons.wikimedia.org/wiki/File:%E6%B8%85%E6%9C%9D%E7%9A%87%E5%B8%9D%E7%A1%83%E6%89%B9%E5%A5%8F%E6%91%BA_-_Guangxu_Emperor_01.jpg</x:v>
      </x:c>
      <x:c r="I45" s="100" t="str">
        <x:v>https://upload.wikimedia.org/wikipedia/commons/1/1f/%E6%B8%85%E6%9C%9D%E7%9A%87%E5%B8%9D%E7%A1%83%E6%89%B9%E5%A5%8F%E6%91%BA_-_Guangxu_Emperor_01.jpg</x:v>
      </x:c>
      <x:c r="J45" s="100" t="str">
        <x:v>Public domain</x:v>
      </x:c>
      <x:c r="K45" s="100" t="str">
        <x:v>绿</x:v>
      </x:c>
      <x:c r="L45" s="100" t="str">
        <x:v>是</x:v>
      </x:c>
      <x:c r="M45" s="100" t="str">
        <x:v>是</x:v>
      </x:c>
      <x:c r="N45" s="100" t="str">
        <x:v>文件页标为光绪朝朱批奏折；档号待核</x:v>
      </x:c>
      <x:c r="O45" s="100" t="str">
        <x:v>2026-08-13</x:v>
      </x:c>
      <x:c r="P45" s="100" t="str">
        <x:v>朱批原件照片。亲政前后的批笔须另核。</x:v>
      </x:c>
      <x:c r="Q45" s="100" t="str">
        <x:v>档号、具奏人、是否亲政期亲批</x:v>
      </x:c>
      <x:c r="R45" s="100" t="str">
        <x:v>奏折朱批</x:v>
      </x:c>
      <x:c r="S45" s="100" t="str">
        <x:v>朱批；红笔；奏折；光绪</x:v>
      </x:c>
      <x:c r="T45" s="100" t="str">
        <x:v>朝服仍是绘画。常服照片是容貌。红笔才是日常批折。戊戌、庚子不会写在这张折的题名上。</x:v>
      </x:c>
      <x:c r="U45" s="100" t="str">
        <x:v>朱笔批在折面。具体字以原件为准。</x:v>
      </x:c>
      <x:c r="V45" s="100" t="str"/>
      <x:c r="W45" s="100" t="str"/>
    </x:row>
    <x:row r="46" ht="52" customHeight="1">
      <x:c r="A46" s="100" t="str">
        <x:v>QH-V-E11D</x:v>
      </x:c>
      <x:c r="B46" s="100" t="str">
        <x:v>QH-E-11</x:v>
      </x:c>
      <x:c r="C46" s="100" t="str">
        <x:v>爱新觉罗·载湉</x:v>
      </x:c>
      <x:c r="D46" s="100" t="str">
        <x:v>兴学育才上谕（光绪年间）</x:v>
      </x:c>
      <x:c r="E46" s="100" t="str">
        <x:v>上谕陈列照片</x:v>
      </x:c>
      <x:c r="F46" s="100" t="str">
        <x:v>光绪年间文书；照片2023</x:v>
      </x:c>
      <x:c r="G46" s="100" t="str">
        <x:v>清廷；Windmemories 摄影</x:v>
      </x:c>
      <x:c r="H46" s="100" t="str">
        <x:v>https://commons.wikimedia.org/wiki/File:20230217_Imperial_Edict_for_Establishing_Schools_and_Cultivating_Talents.jpg</x:v>
      </x:c>
      <x:c r="I46" s="100" t="str">
        <x:v>https://upload.wikimedia.org/wikipedia/commons/thumb/d/d9/20230217_Imperial_Edict_for_Establishing_Schools_and_Cultivating_Talents.jpg/960px-20230217_Imperial_Edict_for_Establishing_Schools_and_Cultivating_Talents.jpg</x:v>
      </x:c>
      <x:c r="J46" s="100" t="str">
        <x:v>CC BY-SA 4.0</x:v>
      </x:c>
      <x:c r="K46" s="100" t="str">
        <x:v>绿</x:v>
      </x:c>
      <x:c r="L46" s="100" t="str">
        <x:v>是</x:v>
      </x:c>
      <x:c r="M46" s="100" t="str">
        <x:v>是</x:v>
      </x:c>
      <x:c r="N46" s="100" t="str">
        <x:v>文件题兴学育才上谕；光绪年间新政文书</x:v>
      </x:c>
      <x:c r="O46" s="100" t="str">
        <x:v>2026-08-13</x:v>
      </x:c>
      <x:c r="P46" s="100" t="str">
        <x:v>陈列中的上谕照片。朝廷文书，不一定是载湉亲笔。</x:v>
      </x:c>
      <x:c r="Q46" s="100" t="str">
        <x:v>原件年代、是否光绪亲笔、与学堂章程的对应</x:v>
      </x:c>
      <x:c r="R46" s="100" t="str">
        <x:v>奏折朱批</x:v>
      </x:c>
      <x:c r="S46" s="100" t="str">
        <x:v>上谕；兴学；新政；诏书形制</x:v>
      </x:c>
      <x:c r="T46" s="100" t="str">
        <x:v>看见的是「诏」长什么样：黄纸、满汉文、印。兴学堂是新政里的事。谁执笔、太后当时管到哪一步，不能从这张陈列照读出来。</x:v>
      </x:c>
      <x:c r="U46" s="100" t="str">
        <x:v>兴学育才类上谕。全文以原件为准。</x:v>
      </x:c>
      <x:c r="V46" s="100" t="str"/>
      <x:c r="W46" s="100" t="str"/>
    </x:row>
    <x:row r="47" ht="52" customHeight="1">
      <x:c r="A47" s="100" t="str">
        <x:v>QH-V-E12C</x:v>
      </x:c>
      <x:c r="B47" s="100" t="str">
        <x:v>QH-E-12</x:v>
      </x:c>
      <x:c r="C47" s="100" t="str">
        <x:v>爱新觉罗·溥仪</x:v>
      </x:c>
      <x:c r="D47" s="100" t="str">
        <x:v>清帝退位诏书（文本）</x:v>
      </x:c>
      <x:c r="E47" s="100" t="str">
        <x:v>退位诏书文本</x:v>
      </x:c>
      <x:c r="F47" s="100" t="str">
        <x:v>1912-02-12</x:v>
      </x:c>
      <x:c r="G47" s="100" t="str">
        <x:v>清廷；隆裕太后懿旨系统</x:v>
      </x:c>
      <x:c r="H47" s="100" t="str">
        <x:v>https://zh.wikisource.org/wiki/%E6%B8%85%E5%B8%9D%E9%80%80%E4%BD%8D%E8%AF%8A%E4%B9%A6</x:v>
      </x:c>
      <x:c r="I47" s="100" t="str"/>
      <x:c r="J47" s="100" t="str">
        <x:v>Public domain</x:v>
      </x:c>
      <x:c r="K47" s="100" t="str">
        <x:v>黄</x:v>
      </x:c>
      <x:c r="L47" s="100" t="str">
        <x:v>仅保存短引文</x:v>
      </x:c>
      <x:c r="M47" s="100" t="str">
        <x:v>仅外链</x:v>
      </x:c>
      <x:c r="N47" s="100" t="str">
        <x:v>通行文本见维基文库；原件照片待核权后另挂</x:v>
      </x:c>
      <x:c r="O47" s="100" t="str">
        <x:v>2026-08-13</x:v>
      </x:c>
      <x:c r="P47" s="100" t="str">
        <x:v>黄色资源。先读文本。原件手稿照片还没找到可嵌入的绿图。</x:v>
      </x:c>
      <x:c r="Q47" s="100" t="str">
        <x:v>原件藏地与可嵌入照片；满汉文本差异</x:v>
      </x:c>
      <x:c r="R47" s="100" t="str">
        <x:v>奏折朱批</x:v>
      </x:c>
      <x:c r="S47" s="100" t="str">
        <x:v>退位诏书；1912；懿旨；文本</x:v>
      </x:c>
      <x:c r="T47" s="100" t="str">
        <x:v>清朝最后一份诏。六岁即位的人，退位时仍是孩子。诏用隆裕太后懿旨的口气，不是他本人起草的手稿。</x:v>
      </x:c>
      <x:c r="U47" s="100" t="str">
        <x:v>朕钦奉隆裕皇太后懿旨：前因民军起事，各省响应……特率皇帝将统治权公诸全国，定为共和立宪国体。全文见维基文库，以原件为准。</x:v>
      </x:c>
      <x:c r="V47" s="100" t="str"/>
      <x:c r="W47" s="100" t="str"/>
    </x:row>
    <x:row r="48" ht="52" customHeight="1">
      <x:c r="A48" s="100" t="str">
        <x:v>QH-V-E04F</x:v>
      </x:c>
      <x:c r="B48" s="100" t="str">
        <x:v>QH-E-04</x:v>
      </x:c>
      <x:c r="C48" s="100" t="str">
        <x:v>爱新觉罗·玄烨</x:v>
      </x:c>
      <x:c r="D48" s="100" t="str">
        <x:v>康熙南巡图卷七局部（无锡至苏州）</x:v>
      </x:c>
      <x:c r="E48" s="100" t="str">
        <x:v>宫廷纪行长卷局部</x:v>
      </x:c>
      <x:c r="F48" s="100" t="str">
        <x:v>康熙中后期；王翚等绘</x:v>
      </x:c>
      <x:c r="G48" s="100" t="str">
        <x:v>王翚等</x:v>
      </x:c>
      <x:c r="H48" s="100" t="str">
        <x:v>https://commons.wikimedia.org/wiki/File:%E5%BA%B7%E7%86%99%E5%8D%97%E5%B7%A1%E5%9B%BE%E7%AC%AC%E4%B8%83%E5%8D%B7%E5%B1%80%E9%83%A8.jpg</x:v>
      </x:c>
      <x:c r="I48" s="100" t="str">
        <x:v>https://upload.wikimedia.org/wikipedia/commons/thumb/7/79/%E5%BA%B7%E7%86%99%E5%8D%97%E5%B7%A1%E5%9B%BE%E7%AC%AC%E4%B8%83%E5%8D%B7%E5%B1%80%E9%83%A8.jpg/960px-%E5%BA%B7%E7%86%99%E5%8D%97%E5%B7%A1%E5%9B%BE%E7%AC%AC%E4%B8%83%E5%8D%B7%E5%B1%80%E9%83%A8.jpg</x:v>
      </x:c>
      <x:c r="J48" s="100" t="str">
        <x:v>Public domain</x:v>
      </x:c>
      <x:c r="K48" s="100" t="str">
        <x:v>绿</x:v>
      </x:c>
      <x:c r="L48" s="100" t="str">
        <x:v>是</x:v>
      </x:c>
      <x:c r="M48" s="100" t="str">
        <x:v>是</x:v>
      </x:c>
      <x:c r="N48" s="100" t="str">
        <x:v>文件题为南巡图卷七局部；皇帝本人在长卷里往往只是行列中的一点</x:v>
      </x:c>
      <x:c r="O48" s="100" t="str">
        <x:v>2026-08-13</x:v>
      </x:c>
      <x:c r="P48" s="100" t="str">
        <x:v>其他真迹。王翚等绘南巡长卷的局部。不是朝服定妆，也不能当成某一天的写生新闻。</x:v>
      </x:c>
      <x:c r="Q48" s="100" t="str">
        <x:v>此局部对应全卷哪一段、画中御舟/仪仗是否可指认康熙本人</x:v>
      </x:c>
      <x:c r="R48" s="100" t="str">
        <x:v>其他真迹</x:v>
      </x:c>
      <x:c r="S48" s="100" t="str">
        <x:v>南巡；长卷；王翚；仪仗与河岸；非近身肖像</x:v>
      </x:c>
      <x:c r="T48" s="100" t="str">
        <x:v>朝服像是坐在宝座上。这张长卷把他放进路上：河、船、城、人。康熙六次南巡，宫廷后来画成十二卷。局部只能说明「有这么一套纪行画」，不能当成某年某日的现场速写。人在画里往往很小。</x:v>
      </x:c>
      <x:c r="U48" s="100" t="str"/>
      <x:c r="V48" s="100" t="str">
        <x:v>朝服是坐着的。这张长卷里，他在路上。</x:v>
      </x:c>
      <x:c r="W48" s="100" t="str"/>
    </x:row>
    <x:row r="49" ht="52" customHeight="1">
      <x:c r="A49" s="100" t="str">
        <x:v>QH-V-E04G</x:v>
      </x:c>
      <x:c r="B49" s="100" t="str">
        <x:v>QH-E-04</x:v>
      </x:c>
      <x:c r="C49" s="100" t="str">
        <x:v>爱新觉罗·玄烨</x:v>
      </x:c>
      <x:c r="D49" s="100" t="str">
        <x:v>康熙帝马上出行像</x:v>
      </x:c>
      <x:c r="E49" s="100" t="str">
        <x:v>宫廷出行/戎装骑马像</x:v>
      </x:c>
      <x:c r="F49" s="100" t="str">
        <x:v>康熙时期或稍后</x:v>
      </x:c>
      <x:c r="G49" s="100" t="str">
        <x:v>佚名宫廷画家</x:v>
      </x:c>
      <x:c r="H49" s="100" t="str">
        <x:v>https://commons.wikimedia.org/wiki/File:The_Emperor_travelling_on_horse.jpg</x:v>
      </x:c>
      <x:c r="I49" s="100" t="str">
        <x:v>https://upload.wikimedia.org/wikipedia/commons/thumb/0/03/The_Emperor_travelling_on_horse.jpg/960px-The_Emperor_travelling_on_horse.jpg</x:v>
      </x:c>
      <x:c r="J49" s="100" t="str">
        <x:v>Public domain</x:v>
      </x:c>
      <x:c r="K49" s="100" t="str">
        <x:v>绿</x:v>
      </x:c>
      <x:c r="L49" s="100" t="str">
        <x:v>是</x:v>
      </x:c>
      <x:c r="M49" s="100" t="str">
        <x:v>是</x:v>
      </x:c>
      <x:c r="N49" s="100" t="str">
        <x:v>文件页标为康熙马上出行；原作馆藏与画题待核</x:v>
      </x:c>
      <x:c r="O49" s="100" t="str">
        <x:v>2026-08-13</x:v>
      </x:c>
      <x:c r="P49" s="100" t="str">
        <x:v>其他真迹。马上出行，不是朝会坐像。人物认定目前主要依据文件题名。</x:v>
      </x:c>
      <x:c r="Q49" s="100" t="str">
        <x:v>原作馆藏号、画题，以及是否与木兰/巡幸图系统为同一稿</x:v>
      </x:c>
      <x:c r="R49" s="100" t="str">
        <x:v>其他真迹</x:v>
      </x:c>
      <x:c r="S49" s="100" t="str">
        <x:v>骑马；出行；侍从；非朝服坐像</x:v>
      </x:c>
      <x:c r="T49" s="100" t="str">
        <x:v>朝服是宝座。这张是马背上。侍从、旗帜和地形说明它是出行或巡幸视觉，用来补「满洲皇帝也会上路」这一面。它仍是宫廷制作，不是某次出巡的照片。</x:v>
      </x:c>
      <x:c r="U49" s="100" t="str"/>
      <x:c r="V49" s="100" t="str">
        <x:v>朝服是宝座。这张是马背上。</x:v>
      </x:c>
      <x:c r="W49" s="100" t="str"/>
    </x:row>
    <x:row r="50" ht="52" customHeight="1">
      <x:c r="A50" s="100" t="str">
        <x:v>QH-V-E04H</x:v>
      </x:c>
      <x:c r="B50" s="100" t="str">
        <x:v>QH-E-04</x:v>
      </x:c>
      <x:c r="C50" s="100" t="str">
        <x:v>爱新觉罗·玄烨</x:v>
      </x:c>
      <x:c r="D50" s="100" t="str">
        <x:v>康熙五十七年两广总督杨琳奏十三行事</x:v>
      </x:c>
      <x:c r="E50" s="100" t="str">
        <x:v>奏折原件照片</x:v>
      </x:c>
      <x:c r="F50" s="100" t="str">
        <x:v>康熙五十七年</x:v>
      </x:c>
      <x:c r="G50" s="100" t="str">
        <x:v>杨琳具奏；玄烨朱批</x:v>
      </x:c>
      <x:c r="H50" s="100" t="str">
        <x:v>https://commons.wikimedia.org/wiki/File:%E5%BA%B7%E7%86%99%E4%BA%94%E5%8D%81%E4%B8%83%E5%B9%B4%E5%85%A9%E5%BB%A3%E7%B8%BD%E7%9D%A3%E6%A5%8A%E7%90%B3%E9%97%9C%E6%96%BC%E5%8D%81%E4%B8%89%E8%A1%8C%E7%9A%84%E5%A5%8F%E6%8A%98.jpg</x:v>
      </x:c>
      <x:c r="I50" s="100" t="str">
        <x:v>https://upload.wikimedia.org/wikipedia/commons/thumb/3/39/%E5%BA%B7%E7%86%99%E4%BA%94%E5%8D%81%E4%B8%83%E5%B9%B4%E5%85%A9%E5%BB%A3%E7%B8%BD%E7%9D%A3%E6%A5%8A%E7%90%B3%E9%97%9C%E6%96%BC%E5%8D%81%E4%B8%89%E8%A1%8C%E7%9A%84%E5%A5%8F%E6%8A%98.jpg/960px-%E5%BA%B7%E7%86%99%E4%BA%94%E5%8D%81%E4%B8%83%E5%B9%B4%E5%85%A9%E5%BB%A3%E7%B8%BD%E7%9D%A3%E6%A5%8A%E7%90%B3%E9%97%9C%E6%96%BC%E5%8D%81%E4%B8%89%E8%A1%8C%E7%9A%84%E5%A5%8F%E6%8A%98.jpg</x:v>
      </x:c>
      <x:c r="J50" s="100" t="str">
        <x:v>Public domain</x:v>
      </x:c>
      <x:c r="K50" s="100" t="str">
        <x:v>绿</x:v>
      </x:c>
      <x:c r="L50" s="100" t="str">
        <x:v>是</x:v>
      </x:c>
      <x:c r="M50" s="100" t="str">
        <x:v>是</x:v>
      </x:c>
      <x:c r="N50" s="100" t="str">
        <x:v>文件题康熙五十七年杨琳奏十三行；广州市国家档案馆公布件</x:v>
      </x:c>
      <x:c r="O50" s="100" t="str">
        <x:v>2026-08-13</x:v>
      </x:c>
      <x:c r="P50" s="100" t="str">
        <x:v>朱批奏折原件照片。黑字是总督写的。红笔才是皇帝批的。具体朱批文字对着原件读，不在这里臆录。</x:v>
      </x:c>
      <x:c r="Q50" s="100" t="str">
        <x:v>档号、朱批全文、与粤海关/十三行制度条文的对应</x:v>
      </x:c>
      <x:c r="R50" s="100" t="str">
        <x:v>奏折朱批</x:v>
      </x:c>
      <x:c r="S50" s="100" t="str">
        <x:v>奏折；十三行；两广总督杨琳；康熙五十七年；朱笔</x:v>
      </x:c>
      <x:c r="T50" s="100" t="str">
        <x:v>朝服读不出广东的买卖。这件折子把十三行写进了康熙朝的日常。折子是臣工的，红笔才是玄烨留下的字。广州公布的是原件照片，不是后来的刻本。</x:v>
      </x:c>
      <x:c r="U50" s="100" t="str">
        <x:v>康熙五十七年，两广总督杨琳奏广东十三行事。朱笔批在折面。具体字以原件为准，此处不臆录。</x:v>
      </x:c>
      <x:c r="V50" s="100" t="str">
        <x:v>朝服读不出十三行。折子上才有广东的买卖。</x:v>
      </x:c>
      <x:c r="W50" s="100" t="str"/>
    </x:row>
    <x:row r="51" ht="52" customHeight="1">
      <x:c r="A51" s="100" t="str">
        <x:v>QH-V-E05F</x:v>
      </x:c>
      <x:c r="B51" s="100" t="str">
        <x:v>QH-E-05</x:v>
      </x:c>
      <x:c r="C51" s="100" t="str">
        <x:v>爱新觉罗·胤禛</x:v>
      </x:c>
      <x:c r="D51" s="100" t="str">
        <x:v>雍正帝洋装猎虎图</x:v>
      </x:c>
      <x:c r="E51" s="100" t="str">
        <x:v>宫廷扮装/行乐图</x:v>
      </x:c>
      <x:c r="F51" s="100" t="str">
        <x:v>雍正年间；照片依 Commons 文件页</x:v>
      </x:c>
      <x:c r="G51" s="100" t="str">
        <x:v>佚名宫廷画家；照片见 Commons 文件页</x:v>
      </x:c>
      <x:c r="H51" s="100" t="str">
        <x:v>https://commons.wikimedia.org/wiki/File:Portrait_de_l%27empereur_Yongzheng_en_costume_europ%C3%A9en.jpg</x:v>
      </x:c>
      <x:c r="I51" s="100" t="str">
        <x:v>https://upload.wikimedia.org/wikipedia/commons/c/c2/Portrait_de_l%27empereur_Yongzheng_en_costume_europ%C3%A9en.jpg</x:v>
      </x:c>
      <x:c r="J51" s="100" t="str">
        <x:v>CC BY-SA 4.0</x:v>
      </x:c>
      <x:c r="K51" s="100" t="str">
        <x:v>绿</x:v>
      </x:c>
      <x:c r="L51" s="100" t="str">
        <x:v>是</x:v>
      </x:c>
      <x:c r="M51" s="100" t="str">
        <x:v>是</x:v>
      </x:c>
      <x:c r="N51" s="100" t="str">
        <x:v>文件题雍正洋装猎虎；属行乐图册系统</x:v>
      </x:c>
      <x:c r="O51" s="100" t="str">
        <x:v>2026-08-13</x:v>
      </x:c>
      <x:c r="P51" s="100" t="str">
        <x:v>其他真迹。不是朝服定妆。照片许可是 CC BY-SA 4.0，须按 Commons 文件页署名。</x:v>
      </x:c>
      <x:c r="Q51" s="100" t="str">
        <x:v>对应行乐图册哪一开、原作馆藏号</x:v>
      </x:c>
      <x:c r="R51" s="100" t="str">
        <x:v>其他真迹</x:v>
      </x:c>
      <x:c r="S51" s="100" t="str">
        <x:v>洋装；猎虎；扮装；行乐图</x:v>
      </x:c>
      <x:c r="T51" s="100" t="str">
        <x:v>朝服是龙袍。这张开里他穿着洋装打虎。宫廷允许皇帝被画成道士、洋人、猎手，那是趣味和自我形象实验，不能拿来说明他真的去欧洲打过猎。默认头像仍用朝服。</x:v>
      </x:c>
      <x:c r="U51" s="100" t="str"/>
      <x:c r="V51" s="100" t="str">
        <x:v>朝服是龙袍。这张开里他穿着洋装打虎。</x:v>
      </x:c>
      <x:c r="W51" s="100" t="str"/>
    </x:row>
    <x:row r="52" ht="52" customHeight="1">
      <x:c r="A52" s="100" t="str">
        <x:v>QH-V-E05G</x:v>
      </x:c>
      <x:c r="B52" s="100" t="str">
        <x:v>QH-E-05</x:v>
      </x:c>
      <x:c r="C52" s="100" t="str">
        <x:v>爱新觉罗·胤禛</x:v>
      </x:c>
      <x:c r="D52" s="100" t="str">
        <x:v>《硃批谕旨》御制序（雍正十年三月初一日）</x:v>
      </x:c>
      <x:c r="E52" s="100" t="str">
        <x:v>官刻汇编卷首谕旨</x:v>
      </x:c>
      <x:c r="F52" s="100" t="str">
        <x:v>雍正十年三月初一日；乾隆三年刻本告成</x:v>
      </x:c>
      <x:c r="G52" s="100" t="str">
        <x:v>胤禛</x:v>
      </x:c>
      <x:c r="H52" s="100" t="str">
        <x:v>https://zh.wikisource.org/wiki/%E7%A1%83%E6%89%B9%E8%AB%AD%E3%AB%96_(%E5%9B%9B%E5%BA%AB%E5%85%A8%E6%9B%B8%E6%9C%AC)</x:v>
      </x:c>
      <x:c r="I52" s="100" t="str"/>
      <x:c r="J52" s="100" t="str">
        <x:v>Public domain</x:v>
      </x:c>
      <x:c r="K52" s="100" t="str">
        <x:v>黄</x:v>
      </x:c>
      <x:c r="L52" s="100" t="str">
        <x:v>仅保存短引文与书目</x:v>
      </x:c>
      <x:c r="M52" s="100" t="str">
        <x:v>仅外链</x:v>
      </x:c>
      <x:c r="N52" s="100" t="str">
        <x:v>四库本《硃批谕旨》卷首御笔；刻本有删选，不等于宫中档全宗</x:v>
      </x:c>
      <x:c r="O52" s="100" t="str">
        <x:v>2026-08-13</x:v>
      </x:c>
      <x:c r="P52" s="100" t="str">
        <x:v>黄色资源。先读他自己怎么说批折。原折图像外链清档，不镜像。</x:v>
      </x:c>
      <x:c r="Q52" s="100" t="str">
        <x:v>序文与宫中档原折批语的异同；所选十分之二三如何取舍</x:v>
      </x:c>
      <x:c r="R52" s="100" t="str">
        <x:v>奏折朱批</x:v>
      </x:c>
      <x:c r="S52" s="100" t="str">
        <x:v>硃批谕旨；御制序；雍正十年；灯下批折；刻本选编</x:v>
      </x:c>
      <x:c r="T52" s="100" t="str">
        <x:v>朝服读不出他每天在干什么。这篇序是他自己写给刻本的：折子封到他面前，亲自看、亲自批，不假手于人。灯下批到二鼓三鼓。后面印出来的只是缴回朱批里检出来的十分之二三，不是全部原折。</x:v>
      </x:c>
      <x:c r="U52" s="100" t="str">
        <x:v>此等奏折皆本人封达朕前，朕亲自览阅亲笔批发。一字一句皆出朕之心思，无一件假手于人，亦无一人赞襄于侧。雍正六年以前，昼则延接廷臣引见官弁，傍晚观览本章，灯下批阅奏折，每至二鼓三鼓。雍正十年三月初一日御笔。据维基文库四库本《硃批谕旨》卷首。刻本有删选，不等于宫中档原折。</x:v>
      </x:c>
      <x:c r="V52" s="100" t="str">
        <x:v>灯下批折，写到二鼓三鼓。他自己说没假手于人。</x:v>
      </x:c>
      <x:c r="W52" s="100" t="str"/>
    </x:row>
    <x:row r="53" ht="52" customHeight="1">
      <x:c r="A53" s="100" t="str">
        <x:v>QH-V-E05H</x:v>
      </x:c>
      <x:c r="B53" s="100" t="str">
        <x:v>QH-E-05</x:v>
      </x:c>
      <x:c r="C53" s="100" t="str">
        <x:v>爱新觉罗·胤禛</x:v>
      </x:c>
      <x:c r="D53" s="100" t="str">
        <x:v>朱批孙继宗摺：所奏知道了（兼问不识字）</x:v>
      </x:c>
      <x:c r="E53" s="100" t="str">
        <x:v>硃批谕旨刻本转引</x:v>
      </x:c>
      <x:c r="F53" s="100" t="str">
        <x:v>雍正四年前后；乾隆刻本</x:v>
      </x:c>
      <x:c r="G53" s="100" t="str">
        <x:v>孙继宗具奏；胤禛朱批</x:v>
      </x:c>
      <x:c r="H53" s="100" t="str">
        <x:v>https://zh.wikisource.org/wiki/%E7%A1%83%E6%89%B9%E8%AB%AD%E3%AB%96_(%E5%9B%9B%E5%BA%AB%E5%85%A8%E6%9B%B8%E6%9C%AC)/%E5%8D%B7117</x:v>
      </x:c>
      <x:c r="I53" s="100" t="str"/>
      <x:c r="J53" s="100" t="str">
        <x:v>Public domain</x:v>
      </x:c>
      <x:c r="K53" s="100" t="str">
        <x:v>黄</x:v>
      </x:c>
      <x:c r="L53" s="100" t="str">
        <x:v>仅保存短引文与书目</x:v>
      </x:c>
      <x:c r="M53" s="100" t="str">
        <x:v>仅外链</x:v>
      </x:c>
      <x:c r="N53" s="100" t="str">
        <x:v>四库本卷117著录；须对照宫中档原折后才能升级为原件</x:v>
      </x:c>
      <x:c r="O53" s="100" t="str">
        <x:v>2026-08-13</x:v>
      </x:c>
      <x:c r="P53" s="100" t="str">
        <x:v>黄色资源。这是刻本里的朱批，不是网上段子。原折图像仍须回清档。</x:v>
      </x:c>
      <x:c r="Q53" s="100" t="str">
        <x:v>宫中档原折档号、朱笔位置，以及与年羹尧案时间线的对应</x:v>
      </x:c>
      <x:c r="R53" s="100" t="str">
        <x:v>奏折朱批</x:v>
      </x:c>
      <x:c r="S53" s="100" t="str">
        <x:v>孙继宗；知道了；不识字；年羹尧；刻本朱批</x:v>
      </x:c>
      <x:c r="T53" s="100" t="str">
        <x:v>先写知道了，再说潘之善是好员，接着问：朕近日闻尔竟不识字，折子怎么写这么顺。这是雍正批折的口气，不是后人编的毒舌段子。</x:v>
      </x:c>
      <x:c r="U53" s="100" t="str">
        <x:v>所奏知道了。潘之善实系好员。朕近日闻尔竟不识字，何乃一切摺奏如此通顺妥当耶。据维基文库四库本《硃批谕旨》卷117。刻本转引，不等于宫中档原折。</x:v>
      </x:c>
      <x:c r="V53" s="100" t="str">
        <x:v>先说知道了，再问你不是不识字吗，折子怎么写这么顺。</x:v>
      </x:c>
      <x:c r="W53" s="100" t="str"/>
    </x:row>
    <x:row r="54" ht="52" customHeight="1">
      <x:c r="A54" s="100" t="str">
        <x:v>QH-V-E06I</x:v>
      </x:c>
      <x:c r="B54" s="100" t="str">
        <x:v>QH-E-06</x:v>
      </x:c>
      <x:c r="C54" s="100" t="str">
        <x:v>爱新觉罗·弘历</x:v>
      </x:c>
      <x:c r="D54" s="100" t="str">
        <x:v>乾隆帝文殊菩萨装像</x:v>
      </x:c>
      <x:c r="E54" s="100" t="str">
        <x:v>宫廷宗教化身像</x:v>
      </x:c>
      <x:c r="F54" s="100" t="str">
        <x:v>乾隆时期</x:v>
      </x:c>
      <x:c r="G54" s="100" t="str">
        <x:v>郎世宁传统／清宫造办处系统</x:v>
      </x:c>
      <x:c r="H54" s="100" t="str">
        <x:v>https://commons.wikimedia.org/wiki/File:Portrait_of_the_Qianlong_emperor_as_the_bodhisattva_Manjushri.jpg</x:v>
      </x:c>
      <x:c r="I54" s="100" t="str">
        <x:v>https://upload.wikimedia.org/wikipedia/commons/thumb/2/29/Portrait_of_the_Qianlong_emperor_as_the_bodhisattva_Manjushri.jpg/960px-Portrait_of_the_Qianlong_emperor_as_the_bodhisattva_Manjushri.jpg</x:v>
      </x:c>
      <x:c r="J54" s="100" t="str">
        <x:v>Public domain</x:v>
      </x:c>
      <x:c r="K54" s="100" t="str">
        <x:v>绿</x:v>
      </x:c>
      <x:c r="L54" s="100" t="str">
        <x:v>是</x:v>
      </x:c>
      <x:c r="M54" s="100" t="str">
        <x:v>是</x:v>
      </x:c>
      <x:c r="N54" s="100" t="str">
        <x:v>文件题乾隆为文殊；与普宁寺喇嘛装唐卡不是同一件</x:v>
      </x:c>
      <x:c r="O54" s="100" t="str">
        <x:v>2026-08-13</x:v>
      </x:c>
      <x:c r="P54" s="100" t="str">
        <x:v>其他真迹。文殊化身像，不是朝服定妆。佛装唐卡另见 QH-V-E06B。</x:v>
      </x:c>
      <x:c r="Q54" s="100" t="str">
        <x:v>馆藏号（Freer 等）、满汉蒙藏题记与制作年代</x:v>
      </x:c>
      <x:c r="R54" s="100" t="str">
        <x:v>其他真迹</x:v>
      </x:c>
      <x:c r="S54" s="100" t="str">
        <x:v>文殊；唐卡；化身；藏传佛教视觉政治</x:v>
      </x:c>
      <x:c r="T54" s="100" t="str">
        <x:v>朝服是皇帝。这张是文殊菩萨。他要用这身装束面对藏传佛教世界。普宁寺那张喇嘛装是另一件，不要并成一张图。两张都不是生活照。</x:v>
      </x:c>
      <x:c r="U54" s="100" t="str"/>
      <x:c r="V54" s="100" t="str">
        <x:v>朝服是皇帝。这张是文殊菩萨。</x:v>
      </x:c>
      <x:c r="W54" s="100" t="str"/>
    </x:row>
    <x:row r="55" ht="52" customHeight="1">
      <x:c r="A55" s="100" t="str">
        <x:v>QH-V-E06J</x:v>
      </x:c>
      <x:c r="B55" s="100" t="str">
        <x:v>QH-E-06</x:v>
      </x:c>
      <x:c r="C55" s="100" t="str">
        <x:v>爱新觉罗·弘历</x:v>
      </x:c>
      <x:c r="D55" s="100" t="str">
        <x:v>乾隆帝半身冬装像</x:v>
      </x:c>
      <x:c r="E55" s="100" t="str">
        <x:v>宫廷便服半身像</x:v>
      </x:c>
      <x:c r="F55" s="100" t="str">
        <x:v>乾隆中年；照片依 Commons 文件页</x:v>
      </x:c>
      <x:c r="G55" s="100" t="str">
        <x:v>传郎世宁；照片 ahxxm</x:v>
      </x:c>
      <x:c r="H55" s="100" t="str">
        <x:v>https://commons.wikimedia.org/wiki/File:%E4%B9%BE%E9%9A%86%E5%8D%8A%E8%BA%AB%E5%86%AC%E8%A3%85%E5%83%8F-%E9%83%8E%E4%B8%96%E5%AE%81.jpg</x:v>
      </x:c>
      <x:c r="I55" s="100" t="str">
        <x:v>https://upload.wikimedia.org/wikipedia/commons/thumb/2/2c/%E4%B9%BE%E9%9A%86%E5%8D%8A%E8%BA%AB%E5%86%AC%E8%A3%85%E5%83%8F-%E9%83%8E%E4%B8%96%E5%AE%81.jpg/960px-%E4%B9%BE%E9%9A%86%E5%8D%8A%E8%BA%AB%E5%86%AC%E8%A3%85%E5%83%8F-%E9%83%8E%E4%B8%96%E5%AE%81.jpg</x:v>
      </x:c>
      <x:c r="J55" s="100" t="str">
        <x:v>CC BY-SA 4.0</x:v>
      </x:c>
      <x:c r="K55" s="100" t="str">
        <x:v>绿</x:v>
      </x:c>
      <x:c r="L55" s="100" t="str">
        <x:v>是</x:v>
      </x:c>
      <x:c r="M55" s="100" t="str">
        <x:v>是</x:v>
      </x:c>
      <x:c r="N55" s="100" t="str">
        <x:v>文件题乾隆半身冬装；画者与原作馆藏待核</x:v>
      </x:c>
      <x:c r="O55" s="100" t="str">
        <x:v>2026-08-13</x:v>
      </x:c>
      <x:c r="P55" s="100" t="str">
        <x:v>其他真迹。便服半身，不是朝袍正像。照片许可 CC BY-SA 4.0，须署名 Commons 文件页作者 ahxxm。</x:v>
      </x:c>
      <x:c r="Q55" s="100" t="str">
        <x:v>是否郎世宁亲笔、原作藏地、左眉细节是否原状</x:v>
      </x:c>
      <x:c r="R55" s="100" t="str">
        <x:v>其他真迹</x:v>
      </x:c>
      <x:c r="S55" s="100" t="str">
        <x:v>冬装；半身；便服；八字须；西洋画法</x:v>
      </x:c>
      <x:c r="T55" s="100" t="str">
        <x:v>朝服是龙袍正脸。这张冬衣半身，已经蓄须。宫廷油画半身像比朝服轴更接近「看见这个人」，仍是绘画，不是照片。左眉如何画，文件页有说法，须回原作。</x:v>
      </x:c>
      <x:c r="U55" s="100" t="str"/>
      <x:c r="V55" s="100" t="str">
        <x:v>朝服是龙袍正脸。这张冬衣半身，已经蓄须。</x:v>
      </x:c>
      <x:c r="W55" s="100" t="str"/>
    </x:row>
    <x:row r="56" ht="52" customHeight="1">
      <x:c r="A56" s="100" t="str">
        <x:v>QH-V-E06K</x:v>
      </x:c>
      <x:c r="B56" s="100" t="str">
        <x:v>QH-E-06</x:v>
      </x:c>
      <x:c r="C56" s="100" t="str">
        <x:v>爱新觉罗·弘历</x:v>
      </x:c>
      <x:c r="D56" s="100" t="str">
        <x:v>乾隆帝朝服像（晚年近景）</x:v>
      </x:c>
      <x:c r="E56" s="100" t="str">
        <x:v>历史宫廷朝服像局部</x:v>
      </x:c>
      <x:c r="F56" s="100" t="str">
        <x:v>乾隆晚期或稍后</x:v>
      </x:c>
      <x:c r="G56" s="100" t="str">
        <x:v>清宫画家</x:v>
      </x:c>
      <x:c r="H56" s="100" t="str">
        <x:v>https://commons.wikimedia.org/wiki/File:Portrait_of_the_Qianlong_Emperor_in_Court_Dress.jpg</x:v>
      </x:c>
      <x:c r="I56" s="100" t="str">
        <x:v>https://upload.wikimedia.org/wikipedia/commons/5/59/Portrait_of_the_Qianlong_Emperor_in_Court_Dress.jpg</x:v>
      </x:c>
      <x:c r="J56" s="100" t="str">
        <x:v>Public domain</x:v>
      </x:c>
      <x:c r="K56" s="100" t="str">
        <x:v>绿</x:v>
      </x:c>
      <x:c r="L56" s="100" t="str">
        <x:v>是</x:v>
      </x:c>
      <x:c r="M56" s="100" t="str">
        <x:v>是</x:v>
      </x:c>
      <x:c r="N56" s="100" t="str">
        <x:v>文件题名作朝服像；画面为腰以上近景</x:v>
      </x:c>
      <x:c r="O56" s="100" t="str">
        <x:v>2026-08-13</x:v>
      </x:c>
      <x:c r="P56" s="100" t="str">
        <x:v>其他真迹。半身近景，源图没有脚，不能当十二帝网格默认图。全身轴见 QH-V-E06。</x:v>
      </x:c>
      <x:c r="Q56" s="100" t="str">
        <x:v>与缪炳泰晚年朝服全身轴、郎世宁 1736 年轴的关系</x:v>
      </x:c>
      <x:c r="R56" s="100" t="str">
        <x:v>其他真迹</x:v>
      </x:c>
      <x:c r="S56" s="100" t="str">
        <x:v>明黄龙袍；冬朝冠；半身近景；无下半身；晚年容貌</x:v>
      </x:c>
      <x:c r="T56" s="100" t="str">
        <x:v>袍和冠仍是朝服，人已经老了。这张从腰以上裁开，源文件里就没有脚，不是网页把下半身切掉的。网格默认改用全身轴。</x:v>
      </x:c>
      <x:c r="U56" s="100" t="str"/>
      <x:c r="V56" s="100" t="str"/>
      <x:c r="W56" s="100" t="str"/>
    </x:row>
    <x:row r="57" ht="52" customHeight="1">
      <x:c r="A57" s="100" t="str">
        <x:v>QH-V-E05I</x:v>
      </x:c>
      <x:c r="B57" s="100" t="str">
        <x:v>QH-E-05</x:v>
      </x:c>
      <x:c r="C57" s="100" t="str">
        <x:v>爱新觉罗·胤禛</x:v>
      </x:c>
      <x:c r="D57" s="100" t="str">
        <x:v>雍正朱批马会伯摺（湖北巡抚马会伯奏）</x:v>
      </x:c>
      <x:c r="E57" s="100" t="str">
        <x:v>朱批奏折</x:v>
      </x:c>
      <x:c r="F57" s="100" t="str">
        <x:v>雍正朝（马会伯任湖北巡抚期间，确切日期待核）</x:v>
      </x:c>
      <x:c r="G57" s="100" t="str">
        <x:v>胤禛朱批；马会伯具奏</x:v>
      </x:c>
      <x:c r="H57" s="100" t="str">
        <x:v>https://commons.wikimedia.org/wiki/File:Palace_memorial_on_the_respectful_return_of_previous_vermilion_rescripts.jpg</x:v>
      </x:c>
      <x:c r="I57" s="100" t="str">
        <x:v>https://upload.wikimedia.org/wikipedia/commons/thumb/9/96/Palace_memorial_on_the_respectful_return_of_previous_vermilion_rescripts.jpg/960px-Palace_memorial_on_the_respectful_return_of_previous_vermilion_rescripts.jpg</x:v>
      </x:c>
      <x:c r="J57" s="100" t="str">
        <x:v>Public domain</x:v>
      </x:c>
      <x:c r="K57" s="100" t="str">
        <x:v>绿</x:v>
      </x:c>
      <x:c r="L57" s="100" t="str">
        <x:v>是</x:v>
      </x:c>
      <x:c r="M57" s="100" t="str">
        <x:v>是</x:v>
      </x:c>
      <x:c r="N57" s="100" t="str">
        <x:v>Commons 文件页著录作者 Yongzheng Emperor、描述湖北巡撫馬會伯奏；档号待核</x:v>
      </x:c>
      <x:c r="O57" s="100" t="str">
        <x:v>2026-08-15</x:v>
      </x:c>
      <x:c r="P57" s="100" t="str">
        <x:v>朱批原件照。红笔是雍正亲笔，黑字是马会伯奏。</x:v>
      </x:c>
      <x:c r="Q57" s="100" t="str">
        <x:v>档号、朱批全文、具奏确切日期</x:v>
      </x:c>
      <x:c r="R57" s="100" t="str">
        <x:v>奏折朱批</x:v>
      </x:c>
      <x:c r="S57" s="100" t="str">
        <x:v>朱批；红笔；奏折；雍正</x:v>
      </x:c>
      <x:c r="T57" s="100" t="str">
        <x:v>横卷：左段红笔朱批，右段黑字奏报。朱批与奏报两层一卷可读。</x:v>
      </x:c>
      <x:c r="U57" s="100" t="str">
        <x:v>朱批为雍正亲笔；全文以原件为准。</x:v>
      </x:c>
      <x:c r="V57" s="100" t="str"/>
      <x:c r="W57" s="100" t="str"/>
    </x:row>
    <x:row r="58" ht="52" customHeight="1">
      <x:c r="A58" s="100" t="str">
        <x:v>QH-V-E06L</x:v>
      </x:c>
      <x:c r="B58" s="100" t="str">
        <x:v>QH-E-06</x:v>
      </x:c>
      <x:c r="C58" s="100" t="str">
        <x:v>爱新觉罗·弘历</x:v>
      </x:c>
      <x:c r="D58" s="100" t="str">
        <x:v>杨廷璋等奏进平定准部铜板图样摺</x:v>
      </x:c>
      <x:c r="E58" s="100" t="str">
        <x:v>奏折</x:v>
      </x:c>
      <x:c r="F58" s="100" t="str">
        <x:v>乾隆朝（平定准部铜板制作期，确切日期待核）</x:v>
      </x:c>
      <x:c r="G58" s="100" t="str">
        <x:v>署理两广总督杨廷璋；粤海关监督方体浴</x:v>
      </x:c>
      <x:c r="H58" s="100" t="str">
        <x:v>https://commons.wikimedia.org/wiki/File:Palace_memorial_on_the_delivery_of_four_illustrations_of_the_Victory_in_the_Pacification_of_Dzungars_and_Muslims_to_France_for_copperplate_production_3.jpg</x:v>
      </x:c>
      <x:c r="I58" s="100" t="str">
        <x:v>https://upload.wikimedia.org/wikipedia/commons/thumb/b/bc/Palace_memorial_on_the_delivery_of_four_illustrations_of_the_Victory_in_the_Pacification_of_Dzungars_and_Muslims_to_France_for_copperplate_production_3.jpg/960px-Palace_memorial_on_the_delivery_of_four_illustrations_of_the_Victory_in_the_Pacification_of_Dzungars_and_Muslims_to_France_for_copperplate_production_3.jpg</x:v>
      </x:c>
      <x:c r="J58" s="100" t="str">
        <x:v>Public domain</x:v>
      </x:c>
      <x:c r="K58" s="100" t="str">
        <x:v>绿</x:v>
      </x:c>
      <x:c r="L58" s="100" t="str">
        <x:v>是</x:v>
      </x:c>
      <x:c r="M58" s="100" t="str">
        <x:v>是</x:v>
      </x:c>
      <x:c r="N58" s="100" t="str">
        <x:v>Commons 文件页著录作者杨廷璋、方体浴；事涉平定准部铜板；档号待核</x:v>
      </x:c>
      <x:c r="O58" s="100" t="str">
        <x:v>2026-08-15</x:v>
      </x:c>
      <x:c r="P58" s="100" t="str">
        <x:v>黑字奏折原件照；「旨」起两列为引收谕，非本件朱批。</x:v>
      </x:c>
      <x:c r="Q58" s="100" t="str">
        <x:v>档号、确切日期、同件朱批</x:v>
      </x:c>
      <x:c r="R58" s="100" t="str">
        <x:v>奏折朱批</x:v>
      </x:c>
      <x:c r="S58" s="100" t="str">
        <x:v>奏折；黑字；引谕；乾隆</x:v>
      </x:c>
      <x:c r="T58" s="100" t="str">
        <x:v>奏报平定准部铜板图样寄递与发刻事宜；「旨」起列为引谕。</x:v>
      </x:c>
      <x:c r="U58" s="100" t="str">
        <x:v>本件未见朱批；朱批或在同件他页。</x:v>
      </x:c>
      <x:c r="V58" s="100" t="str">
        <x:v>「旨」起列为引谕，不是本件朱批。</x:v>
      </x:c>
      <x:c r="W58" s="100" t="str"/>
    </x:row>
  </x:sheetData>
  <x:mergeCells>
    <x:mergeCell ref="A1:W1"/>
    <x:mergeCell ref="A2:W2"/>
  </x:mergeCells>
  <x:conditionalFormatting sqref="K5:K58">
    <x:cfRule type="containsText" dxfId="10" priority="1" operator="containsText" text="绿"/>
    <x:cfRule type="containsText" dxfId="11" priority="2" operator="containsText" text="黄"/>
    <x:cfRule type="containsText" dxfId="12" priority="3" operator="containsText" text="红"/>
  </x:conditionalFormatting>
  <x:pageMargins left="0.7" right="0.7" top="0.75" bottom="0.75" header="0.3" footer="0.3"/>
  <x:legacyDrawing xmlns:r="http://schemas.openxmlformats.org/officeDocument/2006/relationships" r:id="Rab11fad3a0094a6d"/>
  <x:tableParts count="1">
    <x:tablePart xmlns:r="http://schemas.openxmlformats.org/officeDocument/2006/relationships" r:id="Rbc4a06ea0e404d6d"/>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8" hidden="0" customWidth="1"/>
    <x:col min="4" max="4" width="42" hidden="0" customWidth="1"/>
    <x:col min="5" max="5" width="46" hidden="0" customWidth="1"/>
    <x:col min="6" max="6" width="36" hidden="0" customWidth="1"/>
    <x:col min="7" max="7" width="18" hidden="0" customWidth="1"/>
    <x:col min="8" max="8" width="14" hidden="0" customWidth="1"/>
    <x:col min="9" max="9" width="34" hidden="0" customWidth="1"/>
    <x:col min="10" max="10" width="44" hidden="0" customWidth="1"/>
    <x:col min="11" max="11" width="38" hidden="0" customWidth="1"/>
    <x:col min="12" max="12" width="10" hidden="0" customWidth="1"/>
    <x:col min="13" max="13" width="36" hidden="0" customWidth="1"/>
  </x:cols>
  <x:sheetData>
    <x:row r="1" ht="34" customHeight="1">
      <x:c r="A1" s="3" t="str">
        <x:v>持续任务队列</x:v>
      </x:c>
    </x:row>
    <x:row r="2" ht="24" customHeight="1">
      <x:c r="A2" s="6" t="str">
        <x:v>聊天上下文不是项目记忆；每轮从磁盘队列恢复，并记录完成位置、未决问题、下一动作和质量检查</x:v>
      </x:c>
    </x:row>
    <x:row r="4" ht="32" customHeight="1">
      <x:c r="A4" s="92" t="str">
        <x:v>task_id</x:v>
      </x:c>
      <x:c r="B4" s="93" t="str">
        <x:v>emperor_id</x:v>
      </x:c>
      <x:c r="C4" s="93" t="str">
        <x:v>数据包</x:v>
      </x:c>
      <x:c r="D4" s="93" t="str">
        <x:v>任务</x:v>
      </x:c>
      <x:c r="E4" s="93" t="str">
        <x:v>目标来源</x:v>
      </x:c>
      <x:c r="F4" s="93" t="str">
        <x:v>预期产物</x:v>
      </x:c>
      <x:c r="G4" s="93" t="str">
        <x:v>前置任务</x:v>
      </x:c>
      <x:c r="H4" s="93" t="str">
        <x:v>状态</x:v>
      </x:c>
      <x:c r="I4" s="93" t="str">
        <x:v>上次完成位置</x:v>
      </x:c>
      <x:c r="J4" s="93" t="str">
        <x:v>未决问题</x:v>
      </x:c>
      <x:c r="K4" s="93" t="str">
        <x:v>下一步动作</x:v>
      </x:c>
      <x:c r="L4" s="93" t="str">
        <x:v>优先级</x:v>
      </x:c>
      <x:c r="M4" s="94" t="str">
        <x:v>质量检查</x:v>
      </x:c>
    </x:row>
    <x:row r="5" ht="48" customHeight="1">
      <x:c r="A5" s="99" t="str">
        <x:v>TQ-0001</x:v>
      </x:c>
      <x:c r="B5" s="99" t="str">
        <x:v>ALL</x:v>
      </x:c>
      <x:c r="C5" s="99" t="str">
        <x:v>P1身份包</x:v>
      </x:c>
      <x:c r="D5" s="99" t="str">
        <x:v>校正十二帝《清史稿》本纪卷次</x:v>
      </x:c>
      <x:c r="E5" s="99" t="str">
        <x:v>维基文库《清史稿》目录</x:v>
      </x:c>
      <x:c r="F5" s="99" t="str">
        <x:v>qing-emperors.csv卷次字段</x:v>
      </x:c>
      <x:c r="G5" s="99" t="str"/>
      <x:c r="H5" s="99" t="str">
        <x:v>已完成</x:v>
      </x:c>
      <x:c r="I5" s="99" t="str">
        <x:v>卷1—25全部对齐</x:v>
      </x:c>
      <x:c r="J5" s="99" t="str"/>
      <x:c r="K5" s="99" t="str">
        <x:v>冻结映射并纳入自动校验</x:v>
      </x:c>
      <x:c r="L5" s="99" t="str">
        <x:v>P0</x:v>
      </x:c>
      <x:c r="M5" s="99" t="str">
        <x:v>已人工对照目录</x:v>
      </x:c>
    </x:row>
    <x:row r="6" ht="48" customHeight="1">
      <x:c r="A6" s="100" t="str">
        <x:v>TQ-0002</x:v>
      </x:c>
      <x:c r="B6" s="100" t="str">
        <x:v>ALL</x:v>
      </x:c>
      <x:c r="C6" s="100" t="str">
        <x:v>P1身份包</x:v>
      </x:c>
      <x:c r="D6" s="100" t="str">
        <x:v>建立十二帝骨架</x:v>
      </x:c>
      <x:c r="E6" s="100" t="str">
        <x:v>故宫宫廷世系＋《清史稿》目录</x:v>
      </x:c>
      <x:c r="F6" s="100" t="str">
        <x:v>qing-emperors.csv</x:v>
      </x:c>
      <x:c r="G6" s="100" t="str">
        <x:v>TQ-0001</x:v>
      </x:c>
      <x:c r="H6" s="100" t="str">
        <x:v>已完成</x:v>
      </x:c>
      <x:c r="I6" s="100" t="str">
        <x:v>12条人物已建</x:v>
      </x:c>
      <x:c r="J6" s="100" t="str">
        <x:v>在位年份需拆分即位与年号口径</x:v>
      </x:c>
      <x:c r="K6" s="100" t="str">
        <x:v>扩展到日期级事件</x:v>
      </x:c>
      <x:c r="L6" s="100" t="str">
        <x:v>P0</x:v>
      </x:c>
      <x:c r="M6" s="100" t="str">
        <x:v>12条且继承链连续</x:v>
      </x:c>
    </x:row>
    <x:row r="7" ht="48" customHeight="1">
      <x:c r="A7" s="100" t="str">
        <x:v>TQ-0003</x:v>
      </x:c>
      <x:c r="B7" s="100" t="str">
        <x:v>ALL</x:v>
      </x:c>
      <x:c r="C7" s="100" t="str">
        <x:v>P0来源包</x:v>
      </x:c>
      <x:c r="D7" s="100" t="str">
        <x:v>登记每帝官方人物页和通用史料入口</x:v>
      </x:c>
      <x:c r="E7" s="100" t="str">
        <x:v>故宫＋一史馆＋维基文库</x:v>
      </x:c>
      <x:c r="F7" s="100" t="str">
        <x:v>qing-emperor-source-index.csv</x:v>
      </x:c>
      <x:c r="G7" s="100" t="str">
        <x:v>TQ-0002</x:v>
      </x:c>
      <x:c r="H7" s="100" t="str">
        <x:v>已完成</x:v>
      </x:c>
      <x:c r="I7" s="100" t="str">
        <x:v>55条入口已登记；十二帝均有官方人物页与卷级本纪入口</x:v>
      </x:c>
      <x:c r="J7" s="100" t="str">
        <x:v>各朝实录具体条次仍需继续回查</x:v>
      </x:c>
      <x:c r="K7" s="100" t="str">
        <x:v>逐帝补实录版本与条次并持续清除占位入口</x:v>
      </x:c>
      <x:c r="L7" s="100" t="str">
        <x:v>P0</x:v>
      </x:c>
      <x:c r="M7" s="100" t="str">
        <x:v>已打开状态必须绑定真实HTTPS入口；禁止占位URL</x:v>
      </x:c>
    </x:row>
    <x:row r="8" ht="48" customHeight="1">
      <x:c r="A8" s="100" t="str">
        <x:v>TQ-0004</x:v>
      </x:c>
      <x:c r="B8" s="100" t="str">
        <x:v>ALL</x:v>
      </x:c>
      <x:c r="C8" s="100" t="str">
        <x:v>P5图像包</x:v>
      </x:c>
      <x:c r="D8" s="100" t="str">
        <x:v>为十二帝登记一件公版画像或照片</x:v>
      </x:c>
      <x:c r="E8" s="100" t="str">
        <x:v>Wikimedia Commons逐文件页</x:v>
      </x:c>
      <x:c r="F8" s="100" t="str">
        <x:v>emperor-portraits.csv</x:v>
      </x:c>
      <x:c r="G8" s="100" t="str">
        <x:v>TQ-0002</x:v>
      </x:c>
      <x:c r="H8" s="100" t="str">
        <x:v>已完成</x:v>
      </x:c>
      <x:c r="I8" s="100" t="str">
        <x:v>已改为每帝一张明黄朝服默认像，并补史迹、书法、朱批入口；乾隆默认图改用英文文件名</x:v>
      </x:c>
      <x:c r="J8" s="100" t="str">
        <x:v>萨尔浒定点遗址照与具体原折朱批全文仍待逐件回查</x:v>
      </x:c>
      <x:c r="K8" s="100" t="str">
        <x:v>继续核馆藏号并为康雍乾选定可登录的原折</x:v>
      </x:c>
      <x:c r="L8" s="100" t="str">
        <x:v>P0</x:v>
      </x:c>
      <x:c r="M8" s="100" t="str">
        <x:v>12张默认朝服像均有文件页与许可状态</x:v>
      </x:c>
    </x:row>
    <x:row r="9" ht="48" customHeight="1">
      <x:c r="A9" s="100" t="str">
        <x:v>TQ-0005</x:v>
      </x:c>
      <x:c r="B9" s="100" t="str">
        <x:v>QH-E-04</x:v>
      </x:c>
      <x:c r="C9" s="100" t="str">
        <x:v>P0来源包</x:v>
      </x:c>
      <x:c r="D9" s="100" t="str">
        <x:v>建立康熙卷来源清单</x:v>
      </x:c>
      <x:c r="E9" s="100" t="str">
        <x:v>《圣祖实录》《康熙起居注》玉牒目录与档案目录</x:v>
      </x:c>
      <x:c r="F9" s="100" t="str">
        <x:v>康熙来源表</x:v>
      </x:c>
      <x:c r="G9" s="100" t="str">
        <x:v>TQ-0003</x:v>
      </x:c>
      <x:c r="H9" s="100" t="str">
        <x:v>进行中</x:v>
      </x:c>
      <x:c r="I9" s="100" t="str">
        <x:v>已登记卷1即位条、卷234初废条次、卷237复立条、卷300崩逝条与遗诏条并核数字底本；钉卷58立太子丙寅条、卷56六月癸亥择吉条、卷251再废庚戌拘执谕与辛亥朱笔废谕；起居注入口登记为IDX-039/QH-W-056</x:v>
      </x:c>
      <x:c r="J9" s="100" t="str">
        <x:v>可公开访问的起居注与玉牒范围不完整；起居注未打开原文</x:v>
      </x:c>
      <x:c r="K9" s="100" t="str">
        <x:v>继续核起居注出版本卷册与玉牒公开入口</x:v>
      </x:c>
      <x:c r="L9" s="100" t="str">
        <x:v>P0</x:v>
      </x:c>
      <x:c r="M9" s="100" t="str">
        <x:v>三条来源均有卷年月日条次直接URL与底本说明</x:v>
      </x:c>
    </x:row>
    <x:row r="10" ht="48" customHeight="1">
      <x:c r="A10" s="100" t="str">
        <x:v>TQ-0006</x:v>
      </x:c>
      <x:c r="B10" s="100" t="str">
        <x:v>QH-E-04</x:v>
      </x:c>
      <x:c r="C10" s="100" t="str">
        <x:v>P1身份包</x:v>
      </x:c>
      <x:c r="D10" s="100" t="str">
        <x:v>核对康熙姓名称号生卒即位崩逝</x:v>
      </x:c>
      <x:c r="E10" s="100" t="str">
        <x:v>《圣祖实录》卷首卷末＋故宫人物页</x:v>
      </x:c>
      <x:c r="F10" s="100" t="str">
        <x:v>20—30条原子主张</x:v>
      </x:c>
      <x:c r="G10" s="100" t="str">
        <x:v>TQ-0005</x:v>
      </x:c>
      <x:c r="H10" s="100" t="str">
        <x:v>进行中</x:v>
      </x:c>
      <x:c r="I10" s="100" t="str">
        <x:v>已从即位、崩逝、遗诏三条拆38条审核中主张；崩逝条只写寝宫戌刻；kangxi-01已按样板重写并绑定卷1/卷300/本纪九</x:v>
      </x:c>
      <x:c r="J10" s="100" t="str">
        <x:v>畅春园地名须另开来源；公历对照待历法库复核；满汉遗诏谱系见TQ-0019</x:v>
      </x:c>
      <x:c r="K10" s="100" t="str">
        <x:v>请用户抽查QH-A-KX-0001/0014/0033/0037/0028五条</x:v>
      </x:c>
      <x:c r="L10" s="100" t="str">
        <x:v>P0</x:v>
      </x:c>
      <x:c r="M10" s="100" t="str">
        <x:v>38条均绑定来源单元且未冒充H1审核</x:v>
      </x:c>
    </x:row>
    <x:row r="11" ht="48" customHeight="1">
      <x:c r="A11" s="100" t="str">
        <x:v>TQ-0007</x:v>
      </x:c>
      <x:c r="B11" s="100" t="str">
        <x:v>QH-E-04</x:v>
      </x:c>
      <x:c r="C11" s="100" t="str">
        <x:v>P2家庭包</x:v>
      </x:c>
      <x:c r="D11" s="100" t="str">
        <x:v>核对康熙四位皇后及追尊时间</x:v>
      </x:c>
      <x:c r="E11" s="100" t="str">
        <x:v>《清史稿》卷214＋实录册立追谥条＋玉牒线索</x:v>
      </x:c>
      <x:c r="F11" s="100" t="str">
        <x:v>皇后身份与称号时间轴</x:v>
      </x:c>
      <x:c r="G11" s="100" t="str">
        <x:v>TQ-0005</x:v>
      </x:c>
      <x:c r="H11" s="100" t="str">
        <x:v>进行中</x:v>
      </x:c>
      <x:c r="I11" s="100" t="str">
        <x:v>已补孝昭 QH-P-000060；建19条称号时间轴与19条审核中主张；打开卷214、本纪六七九、实录卷48诏</x:v>
      </x:c>
      <x:c r="J11" s="100" t="str">
        <x:v>玉牒未见；四年册后七月/九月冲突未裁；仁寿徽号后妃传未上册与本纪九崩条冲突；十六年十七年二十八年实录条次未钉韩国站</x:v>
      </x:c>
      <x:c r="K11" s="100" t="str">
        <x:v>回核韩国站册后崩逝条；勿把孝恭写成康熙朝皇后</x:v>
      </x:c>
      <x:c r="L11" s="100" t="str">
        <x:v>P0</x:v>
      </x:c>
      <x:c r="M11" s="100" t="str">
        <x:v>四人皆有稳定ID；时态称号轴可浏览；冲突组保留；主张均审核中</x:v>
      </x:c>
    </x:row>
    <x:row r="12" ht="48" customHeight="1">
      <x:c r="A12" s="100" t="str">
        <x:v>TQ-0008</x:v>
      </x:c>
      <x:c r="B12" s="100" t="str">
        <x:v>QH-E-04</x:v>
      </x:c>
      <x:c r="C12" s="100" t="str">
        <x:v>P2家庭包</x:v>
      </x:c>
      <x:c r="D12" s="100" t="str">
        <x:v>建立康熙皇子全表与多种排行口径</x:v>
      </x:c>
      <x:c r="E12" s="100" t="str">
        <x:v>《清史稿》卷164＋实录＋玉牒线索</x:v>
      </x:c>
      <x:c r="F12" s="100" t="str">
        <x:v>皇子人物表和关系边</x:v>
      </x:c>
      <x:c r="G12" s="100" t="str">
        <x:v>TQ-0005</x:v>
      </x:c>
      <x:c r="H12" s="100" t="str">
        <x:v>进行中</x:v>
      </x:c>
      <x:c r="I12" s="100" t="str">
        <x:v>已录卷164：入序23人、缺号第四子、早薨11人；补胤祐等21人档；打开后妃传子女句作生母候选</x:v>
      </x:c>
      <x:c r="J12" s="100" t="str">
        <x:v>玉牒未见；允琶/胤禑异写未裁；第十四子世表名胤禎与人物档胤禵并存</x:v>
      </x:c>
      <x:c r="K12" s="100" t="str">
        <x:v>回核玉牒修次与实录封爵条；勿把表序写成自然序</x:v>
      </x:c>
      <x:c r="L12" s="100" t="str">
        <x:v>P0</x:v>
      </x:c>
      <x:c r="M12" s="100" t="str">
        <x:v>35行可浏览；第一子/长子冲突保留；主张均审核中</x:v>
      </x:c>
    </x:row>
    <x:row r="13" ht="48" customHeight="1">
      <x:c r="A13" s="100" t="str">
        <x:v>TQ-0009</x:v>
      </x:c>
      <x:c r="B13" s="100" t="str">
        <x:v>QH-E-04</x:v>
      </x:c>
      <x:c r="C13" s="100" t="str">
        <x:v>P2家庭包</x:v>
      </x:c>
      <x:c r="D13" s="100" t="str">
        <x:v>建立康熙皇女和公主表</x:v>
      </x:c>
      <x:c r="E13" s="100" t="str">
        <x:v>《清史稿》卷166＋实录册封条＋玉牒线索</x:v>
      </x:c>
      <x:c r="F13" s="100" t="str">
        <x:v>皇女人物表和婚姻关系</x:v>
      </x:c>
      <x:c r="G13" s="100" t="str">
        <x:v>TQ-0005</x:v>
      </x:c>
      <x:c r="H13" s="100" t="str">
        <x:v>进行中</x:v>
      </x:c>
      <x:c r="I13" s="100" t="str">
        <x:v>已按卷166录圣祖亲生女20人加抚育1人；荣宪沿用QH-P-000021；拆28条审核中主张；可读章 kangxi-08；站点 #/princesses</x:v>
      </x:c>
      <x:c r="J13" s="100" t="str">
        <x:v>玉牒未见；册封下嫁实录条次未钉；多数生母与全部额驸尚未建档；策棱/策凌、两班第不自动合并</x:v>
      </x:c>
      <x:c r="K13" s="100" t="str">
        <x:v>回核实录册封条；勿把追进固伦写成生前进封；勿把纯禧写成亲生第二十一女</x:v>
      </x:c>
      <x:c r="L13" s="100" t="str">
        <x:v>P1</x:v>
      </x:c>
      <x:c r="M13" s="100" t="str">
        <x:v>21行可浏览；未封12受封8抚育1；第三女为荣宪；主张均审核中</x:v>
      </x:c>
    </x:row>
    <x:row r="14" ht="48" customHeight="1">
      <x:c r="A14" s="100" t="str">
        <x:v>TQ-0010</x:v>
      </x:c>
      <x:c r="B14" s="100" t="str">
        <x:v>QH-E-04</x:v>
      </x:c>
      <x:c r="C14" s="100" t="str">
        <x:v>P3年表包</x:v>
      </x:c>
      <x:c r="D14" s="100" t="str">
        <x:v>建立1661—1722统治年表</x:v>
      </x:c>
      <x:c r="E14" s="100" t="str">
        <x:v>《圣祖实录》逐年目录＋《清史稿》卷6—8</x:v>
      </x:c>
      <x:c r="F14" s="100" t="str">
        <x:v>40—60个事件</x:v>
      </x:c>
      <x:c r="G14" s="100" t="str">
        <x:v>TQ-0006</x:v>
      </x:c>
      <x:c r="H14" s="100" t="str">
        <x:v>未开始</x:v>
      </x:c>
      <x:c r="I14" s="100" t="str"/>
      <x:c r="J14" s="100" t="str">
        <x:v>实录为官修史料不是原档</x:v>
      </x:c>
      <x:c r="K14" s="100" t="str">
        <x:v>先按十年分段建任务</x:v>
      </x:c>
      <x:c r="L14" s="100" t="str">
        <x:v>P0</x:v>
      </x:c>
      <x:c r="M14" s="100" t="str"/>
    </x:row>
    <x:row r="15" ht="48" customHeight="1">
      <x:c r="A15" s="100" t="str">
        <x:v>TQ-0011</x:v>
      </x:c>
      <x:c r="B15" s="100" t="str">
        <x:v>QH-E-04</x:v>
      </x:c>
      <x:c r="C15" s="100" t="str">
        <x:v>P4统治专题包</x:v>
      </x:c>
      <x:c r="D15" s="100" t="str">
        <x:v>两废太子与储位事件链</x:v>
      </x:c>
      <x:c r="E15" s="100" t="str">
        <x:v>《圣祖实录》＋起居注＋相关奏折目录</x:v>
      </x:c>
      <x:c r="F15" s="100" t="str">
        <x:v>事件主张和冲突组</x:v>
      </x:c>
      <x:c r="G15" s="100" t="str">
        <x:v>TQ-0008</x:v>
      </x:c>
      <x:c r="H15" s="100" t="str">
        <x:v>进行中</x:v>
      </x:c>
      <x:c r="I15" s="100" t="str">
        <x:v>已按本纪六/八、卷164、卷220拆清史稿层；实录卷56钉六月癸亥择吉（初六，不采通行初三说）；卷58钉丙寅册立；卷234钉乙亥驻跸、丁丑拘执、允祄薨、丁酉颁诏、戊戌允禔奏；卷237钉辛巳复立；卷251再废两日：庚戌拘执谕、辛亥朱笔废谕；样板章 #/chapter/kangxi-02；站点 #/succession</x:v>
      </x:c>
      <x:c r="J15" s="100" t="str">
        <x:v>咸安宫：实录再废两条未见，本纪/列传有，最早出处待起居注；起居注只登记入口IDX-039未打开；不得把九子夺嫡写成单一事件</x:v>
      </x:c>
      <x:c r="K15" s="100" t="str">
        <x:v>公开可定位起居注该日未打开（一史馆咨询入口 IDX-039 / QH-W-056）；站点已写明「本纪有、实录无、起居注未开」。勿用百科补地点。用户抽查主张后不得改已采纳</x:v>
      </x:c>
      <x:c r="L15" s="100" t="str">
        <x:v>P0</x:v>
      </x:c>
      <x:c r="M15" s="100" t="str">
        <x:v>22条事件均可回查短引文；三冲突组保留；主张均审核中；事件名不含九子夺嫡</x:v>
      </x:c>
    </x:row>
    <x:row r="16" ht="48" customHeight="1">
      <x:c r="A16" s="100" t="str">
        <x:v>TQ-0012</x:v>
      </x:c>
      <x:c r="B16" s="100" t="str">
        <x:v>QH-E-04</x:v>
      </x:c>
      <x:c r="C16" s="100" t="str">
        <x:v>P4统治专题包</x:v>
      </x:c>
      <x:c r="D16" s="100" t="str">
        <x:v>三藩战争专题</x:v>
      </x:c>
      <x:c r="E16" s="100" t="str">
        <x:v>《圣祖实录》＋平定三逆方略＋现代研究目录</x:v>
      </x:c>
      <x:c r="F16" s="100" t="str">
        <x:v>事件与参与者网络</x:v>
      </x:c>
      <x:c r="G16" s="100" t="str">
        <x:v>TQ-0010</x:v>
      </x:c>
      <x:c r="H16" s="100" t="str">
        <x:v>未开始</x:v>
      </x:c>
      <x:c r="I16" s="100" t="str"/>
      <x:c r="J16" s="100" t="str">
        <x:v>官方方略有编纂立场</x:v>
      </x:c>
      <x:c r="K16" s="100" t="str">
        <x:v>先建时间线再加不同叙述</x:v>
      </x:c>
      <x:c r="L16" s="100" t="str">
        <x:v>P1</x:v>
      </x:c>
      <x:c r="M16" s="100" t="str"/>
    </x:row>
    <x:row r="17" ht="48" customHeight="1">
      <x:c r="A17" s="100" t="str">
        <x:v>TQ-0013</x:v>
      </x:c>
      <x:c r="B17" s="100" t="str">
        <x:v>QH-E-04</x:v>
      </x:c>
      <x:c r="C17" s="100" t="str">
        <x:v>P4统治专题包</x:v>
      </x:c>
      <x:c r="D17" s="100" t="str">
        <x:v>台湾与施琅专题</x:v>
      </x:c>
      <x:c r="E17" s="100" t="str">
        <x:v>《圣祖实录》＋平台纪略等</x:v>
      </x:c>
      <x:c r="F17" s="100" t="str">
        <x:v>事件和人物网络</x:v>
      </x:c>
      <x:c r="G17" s="100" t="str">
        <x:v>TQ-0010</x:v>
      </x:c>
      <x:c r="H17" s="100" t="str">
        <x:v>未开始</x:v>
      </x:c>
      <x:c r="I17" s="100" t="str"/>
      <x:c r="J17" s="100" t="str">
        <x:v>术语与主权叙事需避免现代概念倒灌</x:v>
      </x:c>
      <x:c r="K17" s="100" t="str">
        <x:v>先做来源登记</x:v>
      </x:c>
      <x:c r="L17" s="100" t="str">
        <x:v>P1</x:v>
      </x:c>
      <x:c r="M17" s="100" t="str"/>
    </x:row>
    <x:row r="18" ht="48" customHeight="1">
      <x:c r="A18" s="100" t="str">
        <x:v>TQ-0014</x:v>
      </x:c>
      <x:c r="B18" s="100" t="str">
        <x:v>QH-E-04</x:v>
      </x:c>
      <x:c r="C18" s="100" t="str">
        <x:v>P4统治专题包</x:v>
      </x:c>
      <x:c r="D18" s="100" t="str">
        <x:v>雅克萨与尼布楚条约专题</x:v>
      </x:c>
      <x:c r="E18" s="100" t="str">
        <x:v>满汉俄多语文本目录＋《圣祖实录》</x:v>
      </x:c>
      <x:c r="F18" s="100" t="str">
        <x:v>条约事件与异文</x:v>
      </x:c>
      <x:c r="G18" s="100" t="str">
        <x:v>TQ-0010</x:v>
      </x:c>
      <x:c r="H18" s="100" t="str">
        <x:v>未开始</x:v>
      </x:c>
      <x:c r="I18" s="100" t="str"/>
      <x:c r="J18" s="100" t="str">
        <x:v>俄文拉丁文满文版本差异</x:v>
      </x:c>
      <x:c r="K18" s="100" t="str">
        <x:v>先登记版本不自动翻译</x:v>
      </x:c>
      <x:c r="L18" s="100" t="str">
        <x:v>P1</x:v>
      </x:c>
      <x:c r="M18" s="100" t="str"/>
    </x:row>
    <x:row r="19" ht="48" customHeight="1">
      <x:c r="A19" s="100" t="str">
        <x:v>TQ-0015</x:v>
      </x:c>
      <x:c r="B19" s="100" t="str">
        <x:v>QH-E-04</x:v>
      </x:c>
      <x:c r="C19" s="100" t="str">
        <x:v>P4统治专题包</x:v>
      </x:c>
      <x:c r="D19" s="100" t="str">
        <x:v>噶尔丹战争专题</x:v>
      </x:c>
      <x:c r="E19" s="100" t="str">
        <x:v>《圣祖实录》＋平定朔漠方略</x:v>
      </x:c>
      <x:c r="F19" s="100" t="str">
        <x:v>事件参与者与地点</x:v>
      </x:c>
      <x:c r="G19" s="100" t="str">
        <x:v>TQ-0010</x:v>
      </x:c>
      <x:c r="H19" s="100" t="str">
        <x:v>未开始</x:v>
      </x:c>
      <x:c r="I19" s="100" t="str"/>
      <x:c r="J19" s="100" t="str">
        <x:v>地名异写和现代坐标需核</x:v>
      </x:c>
      <x:c r="K19" s="100" t="str">
        <x:v>先建原始地名表</x:v>
      </x:c>
      <x:c r="L19" s="100" t="str">
        <x:v>P1</x:v>
      </x:c>
      <x:c r="M19" s="100" t="str"/>
    </x:row>
    <x:row r="20" ht="48" customHeight="1">
      <x:c r="A20" s="100" t="str">
        <x:v>TQ-0016</x:v>
      </x:c>
      <x:c r="B20" s="100" t="str">
        <x:v>QH-E-04</x:v>
      </x:c>
      <x:c r="C20" s="100" t="str">
        <x:v>P4统治专题包</x:v>
      </x:c>
      <x:c r="D20" s="100" t="str">
        <x:v>河工财政蠲赋专题</x:v>
      </x:c>
      <x:c r="E20" s="100" t="str">
        <x:v>《圣祖实录》＋会典＋户部档目录</x:v>
      </x:c>
      <x:c r="F20" s="100" t="str">
        <x:v>制度主张</x:v>
      </x:c>
      <x:c r="G20" s="100" t="str">
        <x:v>TQ-0010</x:v>
      </x:c>
      <x:c r="H20" s="100" t="str">
        <x:v>未开始</x:v>
      </x:c>
      <x:c r="I20" s="100" t="str"/>
      <x:c r="J20" s="100" t="str">
        <x:v>政策宣示与执行效果不可混写</x:v>
      </x:c>
      <x:c r="K20" s="100" t="str">
        <x:v>分别建规范主张与效果证据</x:v>
      </x:c>
      <x:c r="L20" s="100" t="str">
        <x:v>P1</x:v>
      </x:c>
      <x:c r="M20" s="100" t="str"/>
    </x:row>
    <x:row r="21" ht="48" customHeight="1">
      <x:c r="A21" s="100" t="str">
        <x:v>TQ-0017</x:v>
      </x:c>
      <x:c r="B21" s="100" t="str">
        <x:v>QH-E-04</x:v>
      </x:c>
      <x:c r="C21" s="100" t="str">
        <x:v>P4统治专题包</x:v>
      </x:c>
      <x:c r="D21" s="100" t="str">
        <x:v>西学与礼仪之争专题</x:v>
      </x:c>
      <x:c r="E21" s="100" t="str">
        <x:v>实录＋传教士书信目录＋现代研究</x:v>
      </x:c>
      <x:c r="F21" s="100" t="str">
        <x:v>人物事件与冲突主张</x:v>
      </x:c>
      <x:c r="G21" s="100" t="str">
        <x:v>TQ-0010</x:v>
      </x:c>
      <x:c r="H21" s="100" t="str">
        <x:v>未开始</x:v>
      </x:c>
      <x:c r="I21" s="100" t="str"/>
      <x:c r="J21" s="100" t="str">
        <x:v>跨语种二手转述风险</x:v>
      </x:c>
      <x:c r="K21" s="100" t="str">
        <x:v>先建来源家族</x:v>
      </x:c>
      <x:c r="L21" s="100" t="str">
        <x:v>P1</x:v>
      </x:c>
      <x:c r="M21" s="100" t="str"/>
    </x:row>
    <x:row r="22" ht="48" customHeight="1">
      <x:c r="A22" s="100" t="str">
        <x:v>TQ-0018</x:v>
      </x:c>
      <x:c r="B22" s="100" t="str">
        <x:v>QH-E-04</x:v>
      </x:c>
      <x:c r="C22" s="100" t="str">
        <x:v>P5文献图像包</x:v>
      </x:c>
      <x:c r="D22" s="100" t="str">
        <x:v>核康熙代表画像原作馆藏与版本</x:v>
      </x:c>
      <x:c r="E22" s="100" t="str">
        <x:v>Commons文件页＋馆方对象页</x:v>
      </x:c>
      <x:c r="F22" s="100" t="str">
        <x:v>图像对象记录</x:v>
      </x:c>
      <x:c r="G22" s="100" t="str">
        <x:v>TQ-0004</x:v>
      </x:c>
      <x:c r="H22" s="100" t="str">
        <x:v>已完成</x:v>
      </x:c>
      <x:c r="I22" s="100" t="str">
        <x:v>；康熙朝服像核到故宫故00006396、雍正朝服像核到故00006431（Commons 文件页著录）；乾隆朝服像核到故宫藏郎世宁1736（登录号未著录）；选定可登录原折：康熙E04H、雍正E05I（雍正亲笔朱批马会伯摺）、乾隆E06L（杨廷璋等奏进铜板图样摺），均绿标缓存</x:v>
      </x:c>
      <x:c r="J22" s="100" t="str">
        <x:v>乾隆朝服像故宫登录号未著录；E05I/E06L 档号与确切日期待核</x:v>
      </x:c>
      <x:c r="K22" s="100" t="str">
        <x:v>随台北故宫或一史馆公开目录补档号</x:v>
      </x:c>
      <x:c r="L22" s="100" t="str">
        <x:v>P0</x:v>
      </x:c>
      <x:c r="M22" s="100" t="str"/>
    </x:row>
    <x:row r="23" ht="48" customHeight="1">
      <x:c r="A23" s="100" t="str">
        <x:v>TQ-0019</x:v>
      </x:c>
      <x:c r="B23" s="100" t="str">
        <x:v>QH-E-04</x:v>
      </x:c>
      <x:c r="C23" s="100" t="str">
        <x:v>P6争议审计包</x:v>
      </x:c>
      <x:c r="D23" s="100" t="str">
        <x:v>建立康熙遗诏与雍正即位冲突组</x:v>
      </x:c>
      <x:c r="E23" s="100" t="str">
        <x:v>遗诏满汉文本＋实录＋起居注＋档案目录</x:v>
      </x:c>
      <x:c r="F23" s="100" t="str">
        <x:v>8—12张争议卡片</x:v>
      </x:c>
      <x:c r="G23" s="100" t="str">
        <x:v>TQ-0011</x:v>
      </x:c>
      <x:c r="H23" s="100" t="str">
        <x:v>未开始</x:v>
      </x:c>
      <x:c r="I23" s="100" t="str"/>
      <x:c r="J23" s="100" t="str">
        <x:v>改诏说各版本需追溯最早来源</x:v>
      </x:c>
      <x:c r="K23" s="100" t="str">
        <x:v>先只登记可见文本和主张者</x:v>
      </x:c>
      <x:c r="L23" s="100" t="str">
        <x:v>P0</x:v>
      </x:c>
      <x:c r="M23" s="100" t="str"/>
    </x:row>
    <x:row r="24" ht="48" customHeight="1">
      <x:c r="A24" s="100" t="str">
        <x:v>TQ-0020</x:v>
      </x:c>
      <x:c r="B24" s="100" t="str">
        <x:v>QH-E-05</x:v>
      </x:c>
      <x:c r="C24" s="100" t="str">
        <x:v>P0来源包</x:v>
      </x:c>
      <x:c r="D24" s="100" t="str">
        <x:v>建立雍正卷来源清单</x:v>
      </x:c>
      <x:c r="E24" s="100" t="str">
        <x:v>《世宗实录》朱批谕旨起居注册档案目录</x:v>
      </x:c>
      <x:c r="F24" s="100" t="str">
        <x:v>雍正来源表</x:v>
      </x:c>
      <x:c r="G24" s="100" t="str">
        <x:v>TQ-0003</x:v>
      </x:c>
      <x:c r="H24" s="100" t="str">
        <x:v>进行中</x:v>
      </x:c>
      <x:c r="I24" s="100" t="str">
        <x:v>已打开《清史稿》卷9本纪与卷295隆科多年羹尧传；拆主张并按样板重写 yongzheng-01；军机处十年说与通行七年/八年并存；钉世宗实录卷1即位辛丑礼与诏、卷159崩逝己丑条、卷39年案甲戌条（九十二款全目）</x:v>
      </x:c>
      <x:c r="J24" s="100" t="str">
        <x:v>朱批谕旨、起居注、《大义觉迷录》原文均未拆；隆科多案与军机处实录条次未钉</x:v>
      </x:c>
      <x:c r="K24" s="100" t="str">
        <x:v>钉隆科多案与军机处十年恤赠条的实录条次；再拆朱批谕旨入口</x:v>
      </x:c>
      <x:c r="L24" s="100" t="str">
        <x:v>P0</x:v>
      </x:c>
      <x:c r="M24" s="100" t="str">
        <x:v>主张均审核中；冲突组保留；章已绑定本纪列传与已钉实录单元</x:v>
      </x:c>
    </x:row>
    <x:row r="25" ht="48" customHeight="1">
      <x:c r="A25" s="100" t="str">
        <x:v>TQ-0021</x:v>
      </x:c>
      <x:c r="B25" s="100" t="str">
        <x:v>ALL</x:v>
      </x:c>
      <x:c r="C25" s="100" t="str">
        <x:v>P5文献包</x:v>
      </x:c>
      <x:c r="D25" s="100" t="str">
        <x:v>建立《清史稿》帝后皇子公主索引</x:v>
      </x:c>
      <x:c r="E25" s="100" t="str">
        <x:v>卷1—25卷161—167卷214</x:v>
      </x:c>
      <x:c r="F25" s="100" t="str">
        <x:v>章节索引表</x:v>
      </x:c>
      <x:c r="G25" s="100" t="str">
        <x:v>TQ-0001</x:v>
      </x:c>
      <x:c r="H25" s="100" t="str">
        <x:v>进行中</x:v>
      </x:c>
      <x:c r="I25" s="100" t="str">
        <x:v>已定位本纪卷次与卷164—166卷214；圣祖四后、皇子表、公主表已拆到人物</x:v>
      </x:c>
      <x:c r="J25" s="100" t="str">
        <x:v>他帝公主细目尚未拆到人物</x:v>
      </x:c>
      <x:c r="K25" s="100" t="str">
        <x:v>可转入他帝公主或《世宗实录》条次回核</x:v>
      </x:c>
      <x:c r="L25" s="100" t="str">
        <x:v>P0</x:v>
      </x:c>
      <x:c r="M25" s="100" t="str">
        <x:v>圣祖公主表21行已绑定人物ID</x:v>
      </x:c>
    </x:row>
    <x:row r="26" ht="48" customHeight="1">
      <x:c r="A26" s="100" t="str">
        <x:v>TQ-0022</x:v>
      </x:c>
      <x:c r="B26" s="100" t="str">
        <x:v>ALL</x:v>
      </x:c>
      <x:c r="C26" s="100" t="str">
        <x:v>P5玉牒包</x:v>
      </x:c>
      <x:c r="D26" s="100" t="str">
        <x:v>建立公开玉牒资源和版本目录</x:v>
      </x:c>
      <x:c r="E26" s="100" t="str">
        <x:v>一史馆宗人府目录＋公开馆藏说明</x:v>
      </x:c>
      <x:c r="F26" s="100" t="str">
        <x:v>玉牒来源目录</x:v>
      </x:c>
      <x:c r="G26" s="100" t="str">
        <x:v>TQ-0003</x:v>
      </x:c>
      <x:c r="H26" s="100" t="str">
        <x:v>未开始</x:v>
      </x:c>
      <x:c r="I26" s="100" t="str">
        <x:v>；版本级目录已立：1921 年玉牒藏一史馆分满汉文本，康雍起居注出版本入口登记（QH-W-055/056/057）</x:v>
      </x:c>
      <x:c r="J26" s="100" t="str">
        <x:v>康雍玉牒具体卷册卷页与合法核验路径仍阻塞；起居注出版信息待核</x:v>
      </x:c>
      <x:c r="K26" s="100" t="str">
        <x:v>先做版本级目录与待核状态</x:v>
      </x:c>
      <x:c r="L26" s="100" t="str">
        <x:v>P0</x:v>
      </x:c>
      <x:c r="M26" s="100" t="str"/>
    </x:row>
    <x:row r="27" ht="48" customHeight="1">
      <x:c r="A27" s="100" t="str">
        <x:v>TQ-0023</x:v>
      </x:c>
      <x:c r="B27" s="100" t="str">
        <x:v>ALL</x:v>
      </x:c>
      <x:c r="C27" s="100" t="str">
        <x:v>P7发布包</x:v>
      </x:c>
      <x:c r="D27" s="100" t="str">
        <x:v>生成十二帝本地导航页</x:v>
      </x:c>
      <x:c r="E27" s="100" t="str">
        <x:v>结构化CSV＋公版画像</x:v>
      </x:c>
      <x:c r="F27" s="100" t="str">
        <x:v>静态本地页面</x:v>
      </x:c>
      <x:c r="G27" s="100" t="str">
        <x:v>TQ-0004</x:v>
      </x:c>
      <x:c r="H27" s="100" t="str">
        <x:v>进行中</x:v>
      </x:c>
      <x:c r="I27" s="100" t="str">
        <x:v>已建立 site/ 研究稿工作台：十二帝、116人、185条主张、四后时间轴、皇子表、皇女表、储位链、52篇可读章节、69道黄金问题、64种帝王文献、来源台账与证据抽屉</x:v>
      </x:c>
      <x:c r="J27" s="100" t="str">
        <x:v>叙事不得把索引级家庭写成已核验关系；画像绿标只说明权利层；崩逝条不得改写成畅春园；孝恭不得写成康熙朝皇后；表序不得写成玉牒；九子夺嫡不得当单一事件；雍正崩条不得写入丹药；追进固伦不得写成生前进封；纯禧不得写成亲生</x:v>
      </x:c>
      <x:c r="K27" s="100" t="str">
        <x:v>每次改 CSV 后运行校验与构建并抽查检索和查看依据</x:v>
      </x:c>
      <x:c r="L27" s="100" t="str">
        <x:v>P1</x:v>
      </x:c>
      <x:c r="M27" s="100" t="str">
        <x:v>骨架可浏览；2条正式采纳、其余保持审核中；69道黄金问题已上线待走查</x:v>
      </x:c>
    </x:row>
    <x:row r="28" ht="48" customHeight="1">
      <x:c r="A28" s="100" t="str">
        <x:v>TQ-0024</x:v>
      </x:c>
      <x:c r="B28" s="100" t="str">
        <x:v>ALL</x:v>
      </x:c>
      <x:c r="C28" s="100" t="str">
        <x:v>P6质量包</x:v>
      </x:c>
      <x:c r="D28" s="100" t="str">
        <x:v>建立自动一致性检查</x:v>
      </x:c>
      <x:c r="E28" s="100" t="str">
        <x:v>全部CSV</x:v>
      </x:c>
      <x:c r="F28" s="100" t="str">
        <x:v>ID重复外键卷次许可状态报告</x:v>
      </x:c>
      <x:c r="G28" s="100" t="str">
        <x:v>TQ-0004</x:v>
      </x:c>
      <x:c r="H28" s="100" t="str">
        <x:v>已完成</x:v>
      </x:c>
      <x:c r="I28" s="100" t="str">
        <x:v>已建立零依赖校验脚本并覆盖行数唯一ID卷次许可引用</x:v>
      </x:c>
      <x:c r="J28" s="100" t="str">
        <x:v>需随新数据持续扩展规则</x:v>
      </x:c>
      <x:c r="K28" s="100" t="str">
        <x:v>每次改表后运行node scripts/validate-data.mjs</x:v>
      </x:c>
      <x:c r="L28" s="100" t="str">
        <x:v>P0</x:v>
      </x:c>
      <x:c r="M28" s="100" t="str">
        <x:v>脚本失败即禁止重建发布工作簿</x:v>
      </x:c>
    </x:row>
    <x:row r="29" ht="48" customHeight="1">
      <x:c r="A29" s="100" t="str">
        <x:v>TQ-0025</x:v>
      </x:c>
      <x:c r="B29" s="100" t="str">
        <x:v>ALL</x:v>
      </x:c>
      <x:c r="C29" s="100" t="str">
        <x:v>P1身份包</x:v>
      </x:c>
      <x:c r="D29" s="100" t="str">
        <x:v>统一十二帝人物ID</x:v>
      </x:c>
      <x:c r="E29" s="100" t="str">
        <x:v>QH-E展示表＋QH-P人物表</x:v>
      </x:c>
      <x:c r="F29" s="100" t="str">
        <x:v>entity-id-crosswalk.csv与迁移后人物表</x:v>
      </x:c>
      <x:c r="G29" s="100" t="str">
        <x:v>TQ-0002</x:v>
      </x:c>
      <x:c r="H29" s="100" t="str">
        <x:v>已完成</x:v>
      </x:c>
      <x:c r="I29" s="100" t="str">
        <x:v>十二条crosswalk均已落入phase0-people；九位缺失皇帝补为QH-P-000051至000059</x:v>
      </x:c>
      <x:c r="J29" s="100" t="str">
        <x:v>QH-E仅保留为展示兼容ID；后续关系与主张一律使用QH-P</x:v>
      </x:c>
      <x:c r="K29" s="100" t="str">
        <x:v>由validator持续检查crosswalk人物主表覆盖</x:v>
      </x:c>
      <x:c r="L29" s="100" t="str">
        <x:v>P0</x:v>
      </x:c>
      <x:c r="M29" s="100" t="str">
        <x:v>12条crosswalk全部有且仅有一条人物主表记录</x:v>
      </x:c>
    </x:row>
    <x:row r="30" ht="48" customHeight="1">
      <x:c r="A30" s="100" t="str">
        <x:v>TQ-0026</x:v>
      </x:c>
      <x:c r="B30" s="100" t="str">
        <x:v>ALL</x:v>
      </x:c>
      <x:c r="C30" s="100" t="str">
        <x:v>P6争议审计包</x:v>
      </x:c>
      <x:c r="D30" s="100" t="str">
        <x:v>建立后宫侧记野史对照与罕读入口</x:v>
      </x:c>
      <x:c r="E30" s="100" t="str">
        <x:v>实录档案笔记与馆藏规则</x:v>
      </x:c>
      <x:c r="F30" s="100" t="str">
        <x:v>side-lanes.csv</x:v>
      </x:c>
      <x:c r="G30" s="100" t="str">
        <x:v>TQ-0004</x:v>
      </x:c>
      <x:c r="H30" s="100" t="str">
        <x:v>进行中</x:v>
      </x:c>
      <x:c r="I30" s="100" t="str">
        <x:v>已建21条三栏：后宫8野史7罕读6；九子夺嫡对照接到储位链</x:v>
      </x:c>
      <x:c r="J30" s="100" t="str">
        <x:v>野史不得升格为事实；罕读只给入口不镜像</x:v>
      </x:c>
      <x:c r="K30" s="100" t="str">
        <x:v>继续为康雍后妃打开实录册封条并补满文档号</x:v>
      </x:c>
      <x:c r="L30" s="100" t="str">
        <x:v>P1</x:v>
      </x:c>
      <x:c r="M30" s="100" t="str">
        <x:v>三栏可浏览且证据状态与权利颜色齐全</x:v>
      </x:c>
    </x:row>
    <x:row r="31" ht="48" customHeight="1">
      <x:c r="A31" s="100" t="str">
        <x:v>TQ-0027</x:v>
      </x:c>
      <x:c r="B31" s="100" t="str">
        <x:v>QH-E-05</x:v>
      </x:c>
      <x:c r="C31" s="100" t="str">
        <x:v>P3世系包</x:v>
      </x:c>
      <x:c r="D31" s="100" t="str">
        <x:v>回查雍正皇子表皇女表后妃时态轴</x:v>
      </x:c>
      <x:c r="E31" s="100" t="str">
        <x:v>维基文库《清史稿》卷165皇子世表世宗系＋卷167公主表＋卷214后妃传世宗段＋《世宗实录》</x:v>
      </x:c>
      <x:c r="F31" s="100" t="str">
        <x:v>yongzheng-princes.csv·yongzheng-princesses.csv·yongzheng-empress-timeline.csv</x:v>
      </x:c>
      <x:c r="G31" s="100" t="str"/>
      <x:c r="H31" s="100" t="str">
        <x:v>未开始</x:v>
      </x:c>
      <x:c r="I31" s="100" t="str"/>
      <x:c r="J31" s="100" t="str">
        <x:v>须先回目录核对卷次；生母表序封号时态一律回原文</x:v>
      </x:c>
      <x:c r="K31" s="100" t="str">
        <x:v>按 docs/08 模板逐条建行并以 S二手索引 状态起步</x:v>
      </x:c>
      <x:c r="L31" s="100" t="str">
        <x:v>P2</x:v>
      </x:c>
      <x:c r="M31" s="100" t="str">
        <x:v>引文与世表摘要照录原文；未源核不得升级</x:v>
      </x:c>
    </x:row>
  </x:sheetData>
  <x:mergeCells>
    <x:mergeCell ref="A1:M1"/>
    <x:mergeCell ref="A2:M2"/>
  </x:mergeCells>
  <x:conditionalFormatting sqref="H5:H31">
    <x:cfRule type="containsText" dxfId="13" priority="1" operator="containsText" text="已完成"/>
    <x:cfRule type="containsText" dxfId="14" priority="2" operator="containsText" text="已通过"/>
    <x:cfRule type="containsText" dxfId="15" priority="3" operator="containsText" text="进行中"/>
    <x:cfRule type="containsText" dxfId="16" priority="4" operator="containsText" text="待审核"/>
    <x:cfRule type="containsText" dxfId="17" priority="5" operator="containsText" text="阻塞"/>
  </x:conditionalFormatting>
  <x:conditionalFormatting sqref="L5:L31">
    <x:cfRule type="containsText" dxfId="18" priority="6" operator="containsText" text="P0"/>
    <x:cfRule type="containsText" dxfId="19" priority="7" operator="containsText" text="P1"/>
    <x:cfRule type="containsText" dxfId="20" priority="8" operator="containsText" text="P2"/>
  </x:conditionalFormatting>
  <x:dataValidations count="2">
    <x:dataValidation type="list" sqref="H5:H31">
      <x:formula1>"未开始,进行中,待审核,已完成,阻塞,取消"</x:formula1>
    </x:dataValidation>
    <x:dataValidation type="list" sqref="L5:L31">
      <x:formula1>"P0,P1,P2,P3"</x:formula1>
    </x:dataValidation>
  </x:dataValidations>
  <x:pageMargins left="0.7" right="0.7" top="0.75" bottom="0.75" header="0.3" footer="0.3"/>
  <x:legacyDrawing xmlns:r="http://schemas.openxmlformats.org/officeDocument/2006/relationships" r:id="R617f6732940f4af7"/>
  <x:tableParts count="1">
    <x:tablePart xmlns:r="http://schemas.openxmlformats.org/officeDocument/2006/relationships" r:id="Raceb4e37306e4c9b"/>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6" hidden="0" customWidth="1"/>
    <x:col min="2" max="2" width="18" hidden="0" customWidth="1"/>
    <x:col min="3" max="3" width="18" hidden="0" customWidth="1"/>
    <x:col min="4" max="4" width="28" hidden="0" customWidth="1"/>
    <x:col min="5" max="5" width="14" hidden="0" customWidth="1"/>
    <x:col min="6" max="6" width="62" hidden="0" customWidth="1"/>
  </x:cols>
  <x:sheetData>
    <x:row r="1" ht="34" customHeight="1">
      <x:c r="A1" s="3" t="str">
        <x:v>十二帝人物 ID 迁移对照</x:v>
      </x:c>
    </x:row>
    <x:row r="2" ht="24" customHeight="1">
      <x:c r="A2" s="6" t="str">
        <x:v>皇帝是人物的时态称号，不是第二套人物实体；QH-E仅为展示兼容ID，权威实体统一到QH-P</x:v>
      </x:c>
    </x:row>
    <x:row r="4" ht="32" customHeight="1">
      <x:c r="A4" s="92" t="str">
        <x:v>entity_role</x:v>
      </x:c>
      <x:c r="B4" s="93" t="str">
        <x:v>person_id</x:v>
      </x:c>
      <x:c r="C4" s="93" t="str">
        <x:v>legacy_emperor_id</x:v>
      </x:c>
      <x:c r="D4" s="93" t="str">
        <x:v>canonical_name</x:v>
      </x:c>
      <x:c r="E4" s="93" t="str">
        <x:v>status</x:v>
      </x:c>
      <x:c r="F4" s="94" t="str">
        <x:v>note</x:v>
      </x:c>
    </x:row>
    <x:row r="5" ht="38" customHeight="1">
      <x:c r="A5" s="99" t="str">
        <x:v>emperor</x:v>
      </x:c>
      <x:c r="B5" s="99" t="str">
        <x:v>QH-P-000051</x:v>
      </x:c>
      <x:c r="C5" s="99" t="str">
        <x:v>QH-E-01</x:v>
      </x:c>
      <x:c r="D5" s="99" t="str">
        <x:v>爱新觉罗·努尔哈赤</x:v>
      </x:c>
      <x:c r="E5" s="99" t="str">
        <x:v>待迁移</x:v>
      </x:c>
      <x:c r="F5" s="99" t="str">
        <x:v>QH-E仅作当前展示兼容ID；权威人物ID统一为QH-P</x:v>
      </x:c>
    </x:row>
    <x:row r="6" ht="38" customHeight="1">
      <x:c r="A6" s="100" t="str">
        <x:v>emperor</x:v>
      </x:c>
      <x:c r="B6" s="100" t="str">
        <x:v>QH-P-000052</x:v>
      </x:c>
      <x:c r="C6" s="100" t="str">
        <x:v>QH-E-02</x:v>
      </x:c>
      <x:c r="D6" s="100" t="str">
        <x:v>爱新觉罗·皇太极</x:v>
      </x:c>
      <x:c r="E6" s="100" t="str">
        <x:v>待迁移</x:v>
      </x:c>
      <x:c r="F6" s="100" t="str">
        <x:v>QH-E仅作当前展示兼容ID；权威人物ID统一为QH-P</x:v>
      </x:c>
    </x:row>
    <x:row r="7" ht="38" customHeight="1">
      <x:c r="A7" s="100" t="str">
        <x:v>emperor</x:v>
      </x:c>
      <x:c r="B7" s="100" t="str">
        <x:v>QH-P-000053</x:v>
      </x:c>
      <x:c r="C7" s="100" t="str">
        <x:v>QH-E-03</x:v>
      </x:c>
      <x:c r="D7" s="100" t="str">
        <x:v>爱新觉罗·福临</x:v>
      </x:c>
      <x:c r="E7" s="100" t="str">
        <x:v>待迁移</x:v>
      </x:c>
      <x:c r="F7" s="100" t="str">
        <x:v>QH-E仅作当前展示兼容ID；权威人物ID统一为QH-P</x:v>
      </x:c>
    </x:row>
    <x:row r="8" ht="38" customHeight="1">
      <x:c r="A8" s="100" t="str">
        <x:v>emperor</x:v>
      </x:c>
      <x:c r="B8" s="100" t="str">
        <x:v>QH-P-000001</x:v>
      </x:c>
      <x:c r="C8" s="100" t="str">
        <x:v>QH-E-04</x:v>
      </x:c>
      <x:c r="D8" s="100" t="str">
        <x:v>爱新觉罗·玄烨</x:v>
      </x:c>
      <x:c r="E8" s="100" t="str">
        <x:v>已存在</x:v>
      </x:c>
      <x:c r="F8" s="100" t="str">
        <x:v>与康雍50人表同一人物；不得建立重复实体</x:v>
      </x:c>
    </x:row>
    <x:row r="9" ht="38" customHeight="1">
      <x:c r="A9" s="100" t="str">
        <x:v>emperor</x:v>
      </x:c>
      <x:c r="B9" s="100" t="str">
        <x:v>QH-P-000002</x:v>
      </x:c>
      <x:c r="C9" s="100" t="str">
        <x:v>QH-E-05</x:v>
      </x:c>
      <x:c r="D9" s="100" t="str">
        <x:v>爱新觉罗·胤禛</x:v>
      </x:c>
      <x:c r="E9" s="100" t="str">
        <x:v>已存在</x:v>
      </x:c>
      <x:c r="F9" s="100" t="str">
        <x:v>与康雍50人表同一人物；不得建立重复实体</x:v>
      </x:c>
    </x:row>
    <x:row r="10" ht="38" customHeight="1">
      <x:c r="A10" s="100" t="str">
        <x:v>emperor</x:v>
      </x:c>
      <x:c r="B10" s="100" t="str">
        <x:v>QH-P-000019</x:v>
      </x:c>
      <x:c r="C10" s="100" t="str">
        <x:v>QH-E-06</x:v>
      </x:c>
      <x:c r="D10" s="100" t="str">
        <x:v>爱新觉罗·弘历</x:v>
      </x:c>
      <x:c r="E10" s="100" t="str">
        <x:v>已存在</x:v>
      </x:c>
      <x:c r="F10" s="100" t="str">
        <x:v>与康雍50人表同一人物；不得建立重复实体</x:v>
      </x:c>
    </x:row>
    <x:row r="11" ht="38" customHeight="1">
      <x:c r="A11" s="100" t="str">
        <x:v>emperor</x:v>
      </x:c>
      <x:c r="B11" s="100" t="str">
        <x:v>QH-P-000054</x:v>
      </x:c>
      <x:c r="C11" s="100" t="str">
        <x:v>QH-E-07</x:v>
      </x:c>
      <x:c r="D11" s="100" t="str">
        <x:v>爱新觉罗·颙琰</x:v>
      </x:c>
      <x:c r="E11" s="100" t="str">
        <x:v>待迁移</x:v>
      </x:c>
      <x:c r="F11" s="100" t="str">
        <x:v>QH-E仅作当前展示兼容ID；权威人物ID统一为QH-P</x:v>
      </x:c>
    </x:row>
    <x:row r="12" ht="38" customHeight="1">
      <x:c r="A12" s="100" t="str">
        <x:v>emperor</x:v>
      </x:c>
      <x:c r="B12" s="100" t="str">
        <x:v>QH-P-000055</x:v>
      </x:c>
      <x:c r="C12" s="100" t="str">
        <x:v>QH-E-08</x:v>
      </x:c>
      <x:c r="D12" s="100" t="str">
        <x:v>爱新觉罗·旻宁</x:v>
      </x:c>
      <x:c r="E12" s="100" t="str">
        <x:v>待迁移</x:v>
      </x:c>
      <x:c r="F12" s="100" t="str">
        <x:v>QH-E仅作当前展示兼容ID；权威人物ID统一为QH-P</x:v>
      </x:c>
    </x:row>
    <x:row r="13" ht="38" customHeight="1">
      <x:c r="A13" s="100" t="str">
        <x:v>emperor</x:v>
      </x:c>
      <x:c r="B13" s="100" t="str">
        <x:v>QH-P-000056</x:v>
      </x:c>
      <x:c r="C13" s="100" t="str">
        <x:v>QH-E-09</x:v>
      </x:c>
      <x:c r="D13" s="100" t="str">
        <x:v>爱新觉罗·奕詝</x:v>
      </x:c>
      <x:c r="E13" s="100" t="str">
        <x:v>待迁移</x:v>
      </x:c>
      <x:c r="F13" s="100" t="str">
        <x:v>QH-E仅作当前展示兼容ID；权威人物ID统一为QH-P</x:v>
      </x:c>
    </x:row>
    <x:row r="14" ht="38" customHeight="1">
      <x:c r="A14" s="100" t="str">
        <x:v>emperor</x:v>
      </x:c>
      <x:c r="B14" s="100" t="str">
        <x:v>QH-P-000057</x:v>
      </x:c>
      <x:c r="C14" s="100" t="str">
        <x:v>QH-E-10</x:v>
      </x:c>
      <x:c r="D14" s="100" t="str">
        <x:v>爱新觉罗·载淳</x:v>
      </x:c>
      <x:c r="E14" s="100" t="str">
        <x:v>待迁移</x:v>
      </x:c>
      <x:c r="F14" s="100" t="str">
        <x:v>QH-E仅作当前展示兼容ID；权威人物ID统一为QH-P</x:v>
      </x:c>
    </x:row>
    <x:row r="15" ht="38" customHeight="1">
      <x:c r="A15" s="100" t="str">
        <x:v>emperor</x:v>
      </x:c>
      <x:c r="B15" s="100" t="str">
        <x:v>QH-P-000058</x:v>
      </x:c>
      <x:c r="C15" s="100" t="str">
        <x:v>QH-E-11</x:v>
      </x:c>
      <x:c r="D15" s="100" t="str">
        <x:v>爱新觉罗·载湉</x:v>
      </x:c>
      <x:c r="E15" s="100" t="str">
        <x:v>待迁移</x:v>
      </x:c>
      <x:c r="F15" s="100" t="str">
        <x:v>QH-E仅作当前展示兼容ID；权威人物ID统一为QH-P</x:v>
      </x:c>
    </x:row>
    <x:row r="16" ht="38" customHeight="1">
      <x:c r="A16" s="100" t="str">
        <x:v>emperor</x:v>
      </x:c>
      <x:c r="B16" s="100" t="str">
        <x:v>QH-P-000059</x:v>
      </x:c>
      <x:c r="C16" s="100" t="str">
        <x:v>QH-E-12</x:v>
      </x:c>
      <x:c r="D16" s="100" t="str">
        <x:v>爱新觉罗·溥仪</x:v>
      </x:c>
      <x:c r="E16" s="100" t="str">
        <x:v>待迁移</x:v>
      </x:c>
      <x:c r="F16" s="100" t="str">
        <x:v>QH-E仅作当前展示兼容ID；权威人物ID统一为QH-P</x:v>
      </x:c>
    </x:row>
  </x:sheetData>
  <x:mergeCells>
    <x:mergeCell ref="A1:F1"/>
    <x:mergeCell ref="A2:F2"/>
  </x:mergeCells>
  <x:conditionalFormatting sqref="E5:E16">
    <x:cfRule type="containsText" dxfId="21" priority="1" operator="containsText" text="已完成"/>
    <x:cfRule type="containsText" dxfId="22" priority="2" operator="containsText" text="已通过"/>
    <x:cfRule type="containsText" dxfId="23" priority="3" operator="containsText" text="进行中"/>
    <x:cfRule type="containsText" dxfId="24" priority="4" operator="containsText" text="待审核"/>
    <x:cfRule type="containsText" dxfId="25" priority="5" operator="containsText" text="阻塞"/>
  </x:conditionalFormatting>
  <x:pageMargins left="0.7" right="0.7" top="0.75" bottom="0.75" header="0.3" footer="0.3"/>
  <x:tableParts count="1">
    <x:tablePart xmlns:r="http://schemas.openxmlformats.org/officeDocument/2006/relationships" r:id="Rd2ca04b055714186"/>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8" hidden="0" customWidth="1"/>
    <x:col min="2" max="2" width="16" hidden="0" customWidth="1"/>
    <x:col min="3" max="3" width="24" hidden="0" customWidth="1"/>
    <x:col min="4" max="4" width="10" hidden="0" customWidth="1"/>
    <x:col min="5" max="5" width="18" hidden="0" customWidth="1"/>
    <x:col min="6" max="6" width="34" hidden="0" customWidth="1"/>
    <x:col min="7" max="7" width="26" hidden="0" customWidth="1"/>
    <x:col min="8" max="8" width="40" hidden="0" customWidth="1"/>
    <x:col min="9" max="9" width="54" hidden="0" customWidth="1"/>
    <x:col min="10" max="10" width="60" hidden="0" customWidth="1"/>
    <x:col min="11" max="11" width="76" hidden="0" customWidth="1"/>
    <x:col min="12" max="12" width="76" hidden="0" customWidth="1"/>
    <x:col min="13" max="13" width="30" hidden="0" customWidth="1"/>
    <x:col min="14" max="14" width="44" hidden="0" customWidth="1"/>
    <x:col min="15" max="15" width="56" hidden="0" customWidth="1"/>
    <x:col min="16" max="16" width="16" hidden="0" customWidth="1"/>
    <x:col min="17" max="17" width="16" hidden="0" customWidth="1"/>
    <x:col min="18" max="18" width="48" hidden="0" customWidth="1"/>
  </x:cols>
  <x:sheetData>
    <x:row r="1" ht="34" customHeight="1">
      <x:c r="A1" s="3" t="str">
        <x:v>十二帝第一版研究卡</x:v>
      </x:c>
    </x:row>
    <x:row r="2" ht="24" customHeight="1">
      <x:c r="A2" s="6" t="str">
        <x:v>家庭、事件与争议均为索引级候选；当前统一标S二手索引/M1 AI回查，后续拆成原子主张逐条回到实录档案或玉牒</x:v>
      </x:c>
    </x:row>
    <x:row r="4" ht="32" customHeight="1">
      <x:c r="A4" s="92" t="str">
        <x:v>person_id</x:v>
      </x:c>
      <x:c r="B4" s="93" t="str">
        <x:v>legacy_emperor_id</x:v>
      </x:c>
      <x:c r="C4" s="93" t="str">
        <x:v>姓名</x:v>
      </x:c>
      <x:c r="D4" s="93" t="str">
        <x:v>庙号</x:v>
      </x:c>
      <x:c r="E4" s="93" t="str">
        <x:v>年号</x:v>
      </x:c>
      <x:c r="F4" s="93" t="str">
        <x:v>在位口径</x:v>
      </x:c>
      <x:c r="G4" s="93" t="str">
        <x:v>父亲</x:v>
      </x:c>
      <x:c r="H4" s="93" t="str">
        <x:v>生母或母系说明</x:v>
      </x:c>
      <x:c r="I4" s="93" t="str">
        <x:v>主要皇后或配偶候选</x:v>
      </x:c>
      <x:c r="J4" s="93" t="str">
        <x:v>主要子女候选</x:v>
      </x:c>
      <x:c r="K4" s="93" t="str">
        <x:v>重大事件骨架</x:v>
      </x:c>
      <x:c r="L4" s="93" t="str">
        <x:v>必须保留的争议或边界</x:v>
      </x:c>
      <x:c r="M4" s="93" t="str">
        <x:v>清史稿本纪</x:v>
      </x:c>
      <x:c r="N4" s="93" t="str">
        <x:v>实录或政纪卷数</x:v>
      </x:c>
      <x:c r="O4" s="93" t="str">
        <x:v>故宫人物页</x:v>
      </x:c>
      <x:c r="P4" s="93" t="str">
        <x:v>证据状态</x:v>
      </x:c>
      <x:c r="Q4" s="93" t="str">
        <x:v>审核层级</x:v>
      </x:c>
      <x:c r="R4" s="94" t="str">
        <x:v>说明</x:v>
      </x:c>
    </x:row>
    <x:row r="5" ht="76" customHeight="1">
      <x:c r="A5" s="99" t="str">
        <x:v>QH-P-000051</x:v>
      </x:c>
      <x:c r="B5" s="99" t="str">
        <x:v>QH-E-01</x:v>
      </x:c>
      <x:c r="C5" s="99" t="str">
        <x:v>爱新觉罗·努尔哈赤</x:v>
      </x:c>
      <x:c r="D5" s="99" t="str">
        <x:v>太祖</x:v>
      </x:c>
      <x:c r="E5" s="99" t="str">
        <x:v>天命</x:v>
      </x:c>
      <x:c r="F5" s="99" t="str">
        <x:v>后金汗1616—1626</x:v>
      </x:c>
      <x:c r="G5" s="99" t="str">
        <x:v>爱新觉罗·塔克世</x:v>
      </x:c>
      <x:c r="H5" s="99" t="str">
        <x:v>喜塔腊氏额穆齐</x:v>
      </x:c>
      <x:c r="I5" s="99" t="str">
        <x:v>孝慈高皇后叶赫那拉氏；乌拉那拉氏曾追谥孝烈武皇后后撤谥</x:v>
      </x:c>
      <x:c r="J5" s="99" t="str">
        <x:v>褚英；代善；莽古尔泰；皇太极；阿济格；多尔衮；多铎；东果格格；莽古济</x:v>
      </x:c>
      <x:c r="K5" s="99" t="str">
        <x:v>统一女真诸部；创制满文；整编八旗；建立后金；七大恨；萨尔浒；迁辽阳沈阳；宁远败退</x:v>
      </x:c>
      <x:c r="L5" s="99" t="str">
        <x:v>1616身份应记汗而非直接套后世皇帝称号；宁远炮伤与死因；乌拉那拉氏殉死情形；前三朝实录反复改写</x:v>
      </x:c>
      <x:c r="M5" s="99" t="str">
        <x:v>卷1太祖本纪</x:v>
      </x:c>
      <x:c r="N5" s="99" t="str">
        <x:v>《太祖高皇帝实录》首卷3正文10卷；另有《满洲实录》</x:v>
      </x:c>
      <x:c r="O5" s="99" t="str">
        <x:v>https://www.dpm.org.cn/court/lineage/226250.html</x:v>
      </x:c>
      <x:c r="P5" s="99" t="str">
        <x:v>S二手索引</x:v>
      </x:c>
      <x:c r="Q5" s="99" t="str">
        <x:v>M1 AI回查</x:v>
      </x:c>
      <x:c r="R5" s="99" t="str">
        <x:v>身份家庭字段为索引级；关系边仍须逐条回查玉牒实录档案</x:v>
      </x:c>
    </x:row>
    <x:row r="6" ht="76" customHeight="1">
      <x:c r="A6" s="100" t="str">
        <x:v>QH-P-000052</x:v>
      </x:c>
      <x:c r="B6" s="100" t="str">
        <x:v>QH-E-02</x:v>
      </x:c>
      <x:c r="C6" s="100" t="str">
        <x:v>爱新觉罗·皇太极</x:v>
      </x:c>
      <x:c r="D6" s="100" t="str">
        <x:v>太宗</x:v>
      </x:c>
      <x:c r="E6" s="100" t="str">
        <x:v>天聪；崇德</x:v>
      </x:c>
      <x:c r="F6" s="100" t="str">
        <x:v>1626继后金汗位；翌年1627改元天聪；1636改国号大清并称帝</x:v>
      </x:c>
      <x:c r="G6" s="100" t="str">
        <x:v>爱新觉罗·努尔哈赤</x:v>
      </x:c>
      <x:c r="H6" s="100" t="str">
        <x:v>叶赫那拉氏孝慈高皇后</x:v>
      </x:c>
      <x:c r="I6" s="100" t="str">
        <x:v>孝端文皇后博尔济吉特氏；孝庄文皇后为后世追尊</x:v>
      </x:c>
      <x:c r="J6" s="100" t="str">
        <x:v>豪格；硕塞；高塞；常舒；福临；博穆博果尔；马喀塔等</x:v>
      </x:c>
      <x:c r="K6" s="100" t="str">
        <x:v>强化汗权；1631设六部；1636文馆改内三院；蒙古八旗汉军八旗；改女真为满洲；1636称帝改国号；1627丁卯之役与1636—1637丙子之役；松锦之战</x:v>
      </x:c>
      <x:c r="L6" s="100" t="str">
        <x:v>1626汗位、1627改元与1636帝位必须分开；继位推举或预定；皇太极词源与原始满文；猝死原因；实录删改</x:v>
      </x:c>
      <x:c r="M6" s="100" t="str">
        <x:v>卷2—3太宗本纪</x:v>
      </x:c>
      <x:c r="N6" s="100" t="str">
        <x:v>《太宗文皇帝实录》首卷3正文65卷</x:v>
      </x:c>
      <x:c r="O6" s="100" t="str">
        <x:v>https://www.dpm.org.cn/court/lineage/226251.html</x:v>
      </x:c>
      <x:c r="P6" s="100" t="str">
        <x:v>S二手索引</x:v>
      </x:c>
      <x:c r="Q6" s="100" t="str">
        <x:v>M1 AI回查</x:v>
      </x:c>
      <x:c r="R6" s="100" t="str">
        <x:v>称号和政权名称必须时态化</x:v>
      </x:c>
    </x:row>
    <x:row r="7" ht="76" customHeight="1">
      <x:c r="A7" s="100" t="str">
        <x:v>QH-P-000053</x:v>
      </x:c>
      <x:c r="B7" s="100" t="str">
        <x:v>QH-E-03</x:v>
      </x:c>
      <x:c r="C7" s="100" t="str">
        <x:v>爱新觉罗·福临</x:v>
      </x:c>
      <x:c r="D7" s="100" t="str">
        <x:v>世祖</x:v>
      </x:c>
      <x:c r="E7" s="100" t="str">
        <x:v>顺治</x:v>
      </x:c>
      <x:c r="F7" s="100" t="str">
        <x:v>1643即位；顺治纪年1644—1661</x:v>
      </x:c>
      <x:c r="G7" s="100" t="str">
        <x:v>爱新觉罗·皇太极</x:v>
      </x:c>
      <x:c r="H7" s="100" t="str">
        <x:v>博尔济吉特氏孝庄文皇后</x:v>
      </x:c>
      <x:c r="I7" s="100" t="str">
        <x:v>废后博尔济吉特氏；孝惠章皇后；孝献皇后董鄂氏与孝康章皇后佟佳氏为追尊</x:v>
      </x:c>
      <x:c r="J7" s="100" t="str">
        <x:v>牛钮；福全；玄烨；荣亲王；常宁；奇绶；隆禧；永干；恭悫长公主等</x:v>
      </x:c>
      <x:c r="K7" s="100" t="str">
        <x:v>1643幼帝在盛京即位；济尔哈朗与多尔衮辅政；1644入关迁都并再次登极；追击农民军和南明；剃发圈地逃人法；亲政后追罪多尔衮</x:v>
      </x:c>
      <x:c r="L7" s="100" t="str">
        <x:v>顺治出家说不可当事实；董鄂妃身份争论；遗诏形成；最终谥号异文需以册宝神牌定本</x:v>
      </x:c>
      <x:c r="M7" s="100" t="str">
        <x:v>卷4—5世祖本纪</x:v>
      </x:c>
      <x:c r="N7" s="100" t="str">
        <x:v>《世祖章皇帝实录》首卷3正文144卷</x:v>
      </x:c>
      <x:c r="O7" s="100" t="str">
        <x:v>https://www.dpm.org.cn/court/lineage/226262.html</x:v>
      </x:c>
      <x:c r="P7" s="100" t="str">
        <x:v>S二手索引</x:v>
      </x:c>
      <x:c r="Q7" s="100" t="str">
        <x:v>M1 AI回查</x:v>
      </x:c>
      <x:c r="R7" s="100" t="str">
        <x:v>即位年份与入关后纪年分开</x:v>
      </x:c>
    </x:row>
    <x:row r="8" ht="76" customHeight="1">
      <x:c r="A8" s="100" t="str">
        <x:v>QH-P-000001</x:v>
      </x:c>
      <x:c r="B8" s="100" t="str">
        <x:v>QH-E-04</x:v>
      </x:c>
      <x:c r="C8" s="100" t="str">
        <x:v>爱新觉罗·玄烨</x:v>
      </x:c>
      <x:c r="D8" s="100" t="str">
        <x:v>圣祖</x:v>
      </x:c>
      <x:c r="E8" s="100" t="str">
        <x:v>康熙</x:v>
      </x:c>
      <x:c r="F8" s="100" t="str">
        <x:v>1661即位；康熙纪年1662—1722</x:v>
      </x:c>
      <x:c r="G8" s="100" t="str">
        <x:v>爱新觉罗·福临</x:v>
      </x:c>
      <x:c r="H8" s="100" t="str">
        <x:v>佟佳氏孝康章皇后</x:v>
      </x:c>
      <x:c r="I8" s="100" t="str">
        <x:v>孝诚仁皇后赫舍里氏；孝昭仁皇后钮祜禄氏；孝懿仁皇后佟佳氏；孝恭仁皇后乌雅氏</x:v>
      </x:c>
      <x:c r="J8" s="100" t="str">
        <x:v>胤禔；胤礽；胤祉；胤禛；胤祺；胤祐；胤禩；胤禟；胤䄉；胤祹；胤祥；胤禵；荣宪公主；恪靖公主等</x:v>
      </x:c>
      <x:c r="K8" s="100" t="str">
        <x:v>除鳌拜；平三藩；收台湾；雅克萨与尼布楚条约；三征噶尔丹；河工蠲赋；西学；两废太子</x:v>
      </x:c>
      <x:c r="L8" s="100" t="str">
        <x:v>雍正继位遗诏形成与宣读；九子夺嫡是后世概括须拆成立废复立再废；立储乙丑/丙寅、初废四十六/四十七年、再废九月/十月冲突均保留；康乾盛世评价需并列成本；礼仪之争</x:v>
      </x:c>
      <x:c r="M8" s="100" t="str">
        <x:v>卷6—8圣祖本纪</x:v>
      </x:c>
      <x:c r="N8" s="100" t="str">
        <x:v>《圣祖仁皇帝实录》首卷3正文300卷</x:v>
      </x:c>
      <x:c r="O8" s="100" t="str">
        <x:v>https://www.dpm.org.cn/court/lineage/226256.html</x:v>
      </x:c>
      <x:c r="P8" s="100" t="str">
        <x:v>S二手索引</x:v>
      </x:c>
      <x:c r="Q8" s="100" t="str">
        <x:v>M1 AI回查</x:v>
      </x:c>
      <x:c r="R8" s="100" t="str">
        <x:v>当前深挖主卷；储位链已按日拆分，主张均审核中；后续仍须回实录条次</x:v>
      </x:c>
    </x:row>
    <x:row r="9" ht="76" customHeight="1">
      <x:c r="A9" s="100" t="str">
        <x:v>QH-P-000002</x:v>
      </x:c>
      <x:c r="B9" s="100" t="str">
        <x:v>QH-E-05</x:v>
      </x:c>
      <x:c r="C9" s="100" t="str">
        <x:v>爱新觉罗·胤禛</x:v>
      </x:c>
      <x:c r="D9" s="100" t="str">
        <x:v>世宗</x:v>
      </x:c>
      <x:c r="E9" s="100" t="str">
        <x:v>雍正</x:v>
      </x:c>
      <x:c r="F9" s="100" t="str">
        <x:v>1722即位；雍正纪年1723—1735</x:v>
      </x:c>
      <x:c r="G9" s="100" t="str">
        <x:v>爱新觉罗·玄烨</x:v>
      </x:c>
      <x:c r="H9" s="100" t="str">
        <x:v>乌雅氏孝恭仁皇后；孝懿仁皇后佟佳氏为重要抚养者不能等同生母</x:v>
      </x:c>
      <x:c r="I9" s="100" t="str">
        <x:v>孝敬宪皇后乌拉那拉氏；孝圣宪皇后钮祜禄氏为追尊</x:v>
      </x:c>
      <x:c r="J9" s="100" t="str">
        <x:v>弘晖；弘时；弘历；弘昼；福惠；怀恪公主</x:v>
      </x:c>
      <x:c r="K9" s="100" t="str">
        <x:v>宗室重组；秘密建储；摊丁入亩；耗羡归公养廉银；改土归流；青海西藏治理；军机机构；整肃年羹尧隆科多诸弟</x:v>
      </x:c>
      <x:c r="L9" s="100" t="str">
        <x:v>即位合法性须分遗诏临终传谕与后世改诏说；军机处成立口径；死亡与丹药；严刑和文字案</x:v>
      </x:c>
      <x:c r="M9" s="100" t="str">
        <x:v>卷9世宗本纪</x:v>
      </x:c>
      <x:c r="N9" s="100" t="str">
        <x:v>《世宗宪皇帝实录》首卷3正文159卷</x:v>
      </x:c>
      <x:c r="O9" s="100" t="str">
        <x:v>https://www.dpm.org.cn/court/lineage/226259.html</x:v>
      </x:c>
      <x:c r="P9" s="100" t="str">
        <x:v>S二手索引</x:v>
      </x:c>
      <x:c r="Q9" s="100" t="str">
        <x:v>M1 AI回查</x:v>
      </x:c>
      <x:c r="R9" s="100" t="str">
        <x:v>与康熙卷共享人物和继承事件</x:v>
      </x:c>
    </x:row>
    <x:row r="10" ht="76" customHeight="1">
      <x:c r="A10" s="100" t="str">
        <x:v>QH-P-000019</x:v>
      </x:c>
      <x:c r="B10" s="100" t="str">
        <x:v>QH-E-06</x:v>
      </x:c>
      <x:c r="C10" s="100" t="str">
        <x:v>爱新觉罗·弘历</x:v>
      </x:c>
      <x:c r="D10" s="100" t="str">
        <x:v>高宗</x:v>
      </x:c>
      <x:c r="E10" s="100" t="str">
        <x:v>乾隆</x:v>
      </x:c>
      <x:c r="F10" s="100" t="str">
        <x:v>1735即位；乾隆纪年1736—1795；1796禅位后掌权至1799</x:v>
      </x:c>
      <x:c r="G10" s="100" t="str">
        <x:v>爱新觉罗·胤禛</x:v>
      </x:c>
      <x:c r="H10" s="100" t="str">
        <x:v>钮祜禄氏孝圣宪皇后</x:v>
      </x:c>
      <x:c r="I10" s="100" t="str">
        <x:v>孝贤纯皇后富察氏；继皇后那拉氏无谥且丧仪降格；孝仪纯皇后魏佳氏为追尊</x:v>
      </x:c>
      <x:c r="J10" s="100" t="str">
        <x:v>永璜；永琏；永璋；永珹；永琪；永瑢；永璇；永瑆；永琰；永璘；和敬公主；和孝公主等</x:v>
      </x:c>
      <x:c r="K10" s="100" t="str">
        <x:v>平准噶尔及天山南路；大小金川等战争；新疆治理；四库全书；文字狱禁毁书；南巡；马戛尔尼使团；禅位</x:v>
      </x:c>
      <x:c r="L10" s="100" t="str">
        <x:v>出生地争议；十全武功评价；准噶尔人口灾难；禁毁书数量；禅位后实际权力</x:v>
      </x:c>
      <x:c r="M10" s="100" t="str">
        <x:v>卷10—15高宗本纪</x:v>
      </x:c>
      <x:c r="N10" s="100" t="str">
        <x:v>《高宗纯皇帝实录》首卷5正文1500卷</x:v>
      </x:c>
      <x:c r="O10" s="100" t="str">
        <x:v>https://www.dpm.org.cn/court/lineage/226263.html</x:v>
      </x:c>
      <x:c r="P10" s="100" t="str">
        <x:v>S二手索引</x:v>
      </x:c>
      <x:c r="Q10" s="100" t="str">
        <x:v>M1 AI回查</x:v>
      </x:c>
      <x:c r="R10" s="100" t="str">
        <x:v>在位与实际执政必须拆分</x:v>
      </x:c>
    </x:row>
    <x:row r="11" ht="76" customHeight="1">
      <x:c r="A11" s="100" t="str">
        <x:v>QH-P-000054</x:v>
      </x:c>
      <x:c r="B11" s="100" t="str">
        <x:v>QH-E-07</x:v>
      </x:c>
      <x:c r="C11" s="100" t="str">
        <x:v>爱新觉罗·颙琰</x:v>
      </x:c>
      <x:c r="D11" s="100" t="str">
        <x:v>仁宗</x:v>
      </x:c>
      <x:c r="E11" s="100" t="str">
        <x:v>嘉庆</x:v>
      </x:c>
      <x:c r="F11" s="100" t="str">
        <x:v>1796—1820；1796—1799受太上皇训政制约</x:v>
      </x:c>
      <x:c r="G11" s="100" t="str">
        <x:v>爱新觉罗·弘历</x:v>
      </x:c>
      <x:c r="H11" s="100" t="str">
        <x:v>魏佳氏孝仪纯皇后</x:v>
      </x:c>
      <x:c r="I11" s="100" t="str">
        <x:v>孝淑睿皇后喜塔腊氏；孝和睿皇后钮祜禄氏</x:v>
      </x:c>
      <x:c r="J11" s="100" t="str">
        <x:v>穆郡王；旻宁；绵恺；绵忻；绵愉；庄敬公主；庄静公主；慧安公主等</x:v>
      </x:c>
      <x:c r="K11" s="100" t="str">
        <x:v>接受内禅；乾隆死后诛和珅；整顿吏治；白莲教；海盗问题；陈德行刺；天理教攻宫；阿美士德使团</x:v>
      </x:c>
      <x:c r="L11" s="100" t="str">
        <x:v>1796—1799名义在位与实际权力；永琰避讳改颙琰；猝死病因；反腐叙事需拆制度和个案</x:v>
      </x:c>
      <x:c r="M11" s="100" t="str">
        <x:v>卷16仁宗本纪</x:v>
      </x:c>
      <x:c r="N11" s="100" t="str">
        <x:v>《仁宗睿皇帝实录》首卷4正文374卷</x:v>
      </x:c>
      <x:c r="O11" s="100" t="str">
        <x:v>https://www.dpm.org.cn/court/lineage/226238.html</x:v>
      </x:c>
      <x:c r="P11" s="100" t="str">
        <x:v>S二手索引</x:v>
      </x:c>
      <x:c r="Q11" s="100" t="str">
        <x:v>M1 AI回查</x:v>
      </x:c>
      <x:c r="R11" s="100" t="str">
        <x:v>太上皇训政为独立权力状态</x:v>
      </x:c>
    </x:row>
    <x:row r="12" ht="76" customHeight="1">
      <x:c r="A12" s="100" t="str">
        <x:v>QH-P-000055</x:v>
      </x:c>
      <x:c r="B12" s="100" t="str">
        <x:v>QH-E-08</x:v>
      </x:c>
      <x:c r="C12" s="100" t="str">
        <x:v>爱新觉罗·旻宁</x:v>
      </x:c>
      <x:c r="D12" s="100" t="str">
        <x:v>宣宗</x:v>
      </x:c>
      <x:c r="E12" s="100" t="str">
        <x:v>道光</x:v>
      </x:c>
      <x:c r="F12" s="100" t="str">
        <x:v>1820即位；道光纪年1821—1850</x:v>
      </x:c>
      <x:c r="G12" s="100" t="str">
        <x:v>爱新觉罗·颙琰</x:v>
      </x:c>
      <x:c r="H12" s="100" t="str">
        <x:v>喜塔腊氏孝淑睿皇后</x:v>
      </x:c>
      <x:c r="I12" s="100" t="str">
        <x:v>孝穆成皇后；孝慎成皇后；孝全成皇后；孝静成皇后</x:v>
      </x:c>
      <x:c r="J12" s="100" t="str">
        <x:v>奕纬；奕纲；奕继；奕詝；奕誴；奕訢；奕譞；奕詥；奕譓；寿安公主；寿恩公主等</x:v>
      </x:c>
      <x:c r="K12" s="100" t="str">
        <x:v>漕运盐政财政；禁烟与林则徐；第一次鸦片战争；南京条约及后续条约；内乱渐增；秘密立储</x:v>
      </x:c>
      <x:c r="L12" s="100" t="str">
        <x:v>绵宁避讳改旻宁机制；禁烟到开战政策摇摆；节俭故事须核档；继承竞争故事后世加工；孝静成皇后追尊过程</x:v>
      </x:c>
      <x:c r="M12" s="100" t="str">
        <x:v>卷17—19宣宗本纪</x:v>
      </x:c>
      <x:c r="N12" s="100" t="str">
        <x:v>《宣宗成皇帝实录》首卷5正文476卷</x:v>
      </x:c>
      <x:c r="O12" s="100" t="str">
        <x:v>https://www.dpm.org.cn/court/lineage/226239.html</x:v>
      </x:c>
      <x:c r="P12" s="100" t="str">
        <x:v>S二手索引</x:v>
      </x:c>
      <x:c r="Q12" s="100" t="str">
        <x:v>M1 AI回查</x:v>
      </x:c>
      <x:c r="R12" s="100" t="str">
        <x:v>名称变化必须带有效时间</x:v>
      </x:c>
    </x:row>
    <x:row r="13" ht="76" customHeight="1">
      <x:c r="A13" s="100" t="str">
        <x:v>QH-P-000056</x:v>
      </x:c>
      <x:c r="B13" s="100" t="str">
        <x:v>QH-E-09</x:v>
      </x:c>
      <x:c r="C13" s="100" t="str">
        <x:v>爱新觉罗·奕詝</x:v>
      </x:c>
      <x:c r="D13" s="100" t="str">
        <x:v>文宗</x:v>
      </x:c>
      <x:c r="E13" s="100" t="str">
        <x:v>咸丰</x:v>
      </x:c>
      <x:c r="F13" s="100" t="str">
        <x:v>1850即位；咸丰纪年1851—1861</x:v>
      </x:c>
      <x:c r="G13" s="100" t="str">
        <x:v>爱新觉罗·旻宁</x:v>
      </x:c>
      <x:c r="H13" s="100" t="str">
        <x:v>钮祜禄氏孝全成皇后</x:v>
      </x:c>
      <x:c r="I13" s="100" t="str">
        <x:v>孝德显皇后萨克达氏；孝贞显皇后钮祜禄氏；孝钦显皇后叶赫那拉氏</x:v>
      </x:c>
      <x:c r="J13" s="100" t="str">
        <x:v>载淳；悯郡王；荣安固伦公主</x:v>
      </x:c>
      <x:c r="K13" s="100" t="str">
        <x:v>太平天国与捻军；启用曾国藩及地方军；第二次鸦片战争；天津北京条约；圆明园被焚掠；避热河；赞襄政务王大臣</x:v>
      </x:c>
      <x:c r="L13" s="100" t="str">
        <x:v>北狩与逃离北京的叙述立场；对外失败责任；两宫印章与八大臣权力设计；不能以后来权势倒推慈禧咸丰朝影响</x:v>
      </x:c>
      <x:c r="M13" s="100" t="str">
        <x:v>卷20文宗本纪</x:v>
      </x:c>
      <x:c r="N13" s="100" t="str">
        <x:v>《文宗显皇帝实录》首卷4正文356卷</x:v>
      </x:c>
      <x:c r="O13" s="100" t="str">
        <x:v>https://www.dpm.org.cn/court/lineage/226247.html</x:v>
      </x:c>
      <x:c r="P13" s="100" t="str">
        <x:v>S二手索引</x:v>
      </x:c>
      <x:c r="Q13" s="100" t="str">
        <x:v>M1 AI回查</x:v>
      </x:c>
      <x:c r="R13" s="100" t="str">
        <x:v>重大事件需区分皇帝决策与制度责任</x:v>
      </x:c>
    </x:row>
    <x:row r="14" ht="76" customHeight="1">
      <x:c r="A14" s="100" t="str">
        <x:v>QH-P-000057</x:v>
      </x:c>
      <x:c r="B14" s="100" t="str">
        <x:v>QH-E-10</x:v>
      </x:c>
      <x:c r="C14" s="100" t="str">
        <x:v>爱新觉罗·载淳</x:v>
      </x:c>
      <x:c r="D14" s="100" t="str">
        <x:v>穆宗</x:v>
      </x:c>
      <x:c r="E14" s="100" t="str">
        <x:v>同治；祺祥仅拟用后改</x:v>
      </x:c>
      <x:c r="F14" s="100" t="str">
        <x:v>1861即位；同治纪年1862—1874；阳历卒于1875</x:v>
      </x:c>
      <x:c r="G14" s="100" t="str">
        <x:v>爱新觉罗·奕詝</x:v>
      </x:c>
      <x:c r="H14" s="100" t="str">
        <x:v>叶赫那拉氏孝钦显皇后</x:v>
      </x:c>
      <x:c r="I14" s="100" t="str">
        <x:v>孝哲毅皇后阿鲁特氏</x:v>
      </x:c>
      <x:c r="J14" s="100" t="str">
        <x:v>无子女</x:v>
      </x:c>
      <x:c r="K14" s="100" t="str">
        <x:v>辛酉政变；两宫垂帘；镇压太平军捻军及西北起事；洋务运动；所谓同治中兴；天津教案；1873亲政</x:v>
      </x:c>
      <x:c r="L14" s="100" t="str">
        <x:v>公历死年与传统纪年；官方死因天花而梅毒说多属晚出；真实决策空间；同治中兴价值判断；阿鲁特氏死因</x:v>
      </x:c>
      <x:c r="M14" s="100" t="str">
        <x:v>卷21—22穆宗本纪</x:v>
      </x:c>
      <x:c r="N14" s="100" t="str">
        <x:v>《穆宗毅皇帝实录》首卷4正文374卷</x:v>
      </x:c>
      <x:c r="O14" s="100" t="str">
        <x:v>https://www.dpm.org.cn/court/lineage/226248.html</x:v>
      </x:c>
      <x:c r="P14" s="100" t="str">
        <x:v>S二手索引</x:v>
      </x:c>
      <x:c r="Q14" s="100" t="str">
        <x:v>M1 AI回查</x:v>
      </x:c>
      <x:c r="R14" s="100" t="str">
        <x:v>祺祥是拟用年号不能并列为实际纪年</x:v>
      </x:c>
    </x:row>
    <x:row r="15" ht="76" customHeight="1">
      <x:c r="A15" s="100" t="str">
        <x:v>QH-P-000058</x:v>
      </x:c>
      <x:c r="B15" s="100" t="str">
        <x:v>QH-E-11</x:v>
      </x:c>
      <x:c r="C15" s="100" t="str">
        <x:v>爱新觉罗·载湉</x:v>
      </x:c>
      <x:c r="D15" s="100" t="str">
        <x:v>德宗</x:v>
      </x:c>
      <x:c r="E15" s="100" t="str">
        <x:v>光绪</x:v>
      </x:c>
      <x:c r="F15" s="100" t="str">
        <x:v>同治十三年十二月（公历1875年1月）议立；光绪元年即位，在位1875—1908</x:v>
      </x:c>
      <x:c r="G15" s="100" t="str">
        <x:v>醇贤亲王爱新觉罗·奕譞</x:v>
      </x:c>
      <x:c r="H15" s="100" t="str">
        <x:v>生母叶赫那拉氏；礼法上继文宗为子</x:v>
      </x:c>
      <x:c r="I15" s="100" t="str">
        <x:v>孝定景皇后叶赫那拉氏即隆裕太后</x:v>
      </x:c>
      <x:c r="J15" s="100" t="str">
        <x:v>无子女</x:v>
      </x:c>
      <x:c r="K15" s="100" t="str">
        <x:v>两宫垂帘与亲政；中法战争；新疆建省；甲午战争；戊戌变法政变；义和团八国联军辛丑条约；清末新政</x:v>
      </x:c>
      <x:c r="L15" s="100" t="str">
        <x:v>生辰异文须以玉牒核；现代检测支持急性砷中毒但下毒者未知；甲午主战和戊戌决策能动性；帝党后党不可直接实体化</x:v>
      </x:c>
      <x:c r="M15" s="100" t="str">
        <x:v>卷23—24德宗本纪</x:v>
      </x:c>
      <x:c r="N15" s="100" t="str">
        <x:v>《德宗景皇帝实录》首卷4正文597卷</x:v>
      </x:c>
      <x:c r="O15" s="100" t="str">
        <x:v>https://www.dpm.org.cn/court/lineage/226254.html</x:v>
      </x:c>
      <x:c r="P15" s="100" t="str">
        <x:v>S二手索引</x:v>
      </x:c>
      <x:c r="Q15" s="100" t="str">
        <x:v>M1 AI回查</x:v>
      </x:c>
      <x:c r="R15" s="100" t="str">
        <x:v>必须分生父母与礼法父母；中历同治十三年十二月不可简写为公历1874年底</x:v>
      </x:c>
    </x:row>
    <x:row r="16" ht="76" customHeight="1">
      <x:c r="A16" s="100" t="str">
        <x:v>QH-P-000059</x:v>
      </x:c>
      <x:c r="B16" s="100" t="str">
        <x:v>QH-E-12</x:v>
      </x:c>
      <x:c r="C16" s="100" t="str">
        <x:v>爱新觉罗·溥仪</x:v>
      </x:c>
      <x:c r="D16" s="100" t="str"/>
      <x:c r="E16" s="100" t="str">
        <x:v>宣统</x:v>
      </x:c>
      <x:c r="F16" s="100" t="str">
        <x:v>1908即位；宣统纪年1909—1911；1912-02-12退位</x:v>
      </x:c>
      <x:c r="G16" s="100" t="str">
        <x:v>醇亲王爱新觉罗·载沣</x:v>
      </x:c>
      <x:c r="H16" s="100" t="str">
        <x:v>苏完瓜尔佳氏；礼法上承继穆宗并兼承德宗之祧</x:v>
      </x:c>
      <x:c r="I16" s="100" t="str">
        <x:v>郭布罗·婉容于1922年退位后按小朝廷旧制成婚</x:v>
      </x:c>
      <x:c r="J16" s="100" t="str">
        <x:v>无子女</x:v>
      </x:c>
      <x:c r="K16" s="100" t="str">
        <x:v>载沣摄政；罢袁世凯；预备立宪；皇族内阁；铁路国有和保路；武昌起义；摄政王退位；清帝退位；后清帝生涯另卷处理</x:v>
      </x:c>
      <x:c r="L16" s="100" t="str">
        <x:v>在位起点1908年号起点1909王朝终点1911退位日1912四种口径；无清朝正式庙号谥号；1917复辟和伪满帝位不是清朝连续在位；幼帝行为不能归于本人</x:v>
      </x:c>
      <x:c r="M16" s="100" t="str">
        <x:v>卷25宣统皇帝本纪</x:v>
      </x:c>
      <x:c r="N16" s="100" t="str">
        <x:v>《宣统政纪》首卷1正文70卷；不是宣统帝实录</x:v>
      </x:c>
      <x:c r="O16" s="100" t="str">
        <x:v>https://www.dpm.org.cn/court/lineage/226255.html</x:v>
      </x:c>
      <x:c r="P16" s="100" t="str">
        <x:v>S二手索引</x:v>
      </x:c>
      <x:c r="Q16" s="100" t="str">
        <x:v>M1 AI回查</x:v>
      </x:c>
      <x:c r="R16" s="100" t="str">
        <x:v>婚姻发生在退位后不得反写成清朝在位期册立</x:v>
      </x:c>
    </x:row>
  </x:sheetData>
  <x:mergeCells>
    <x:mergeCell ref="A1:R1"/>
    <x:mergeCell ref="A2:R2"/>
  </x:mergeCells>
  <x:pageMargins left="0.7" right="0.7" top="0.75" bottom="0.75" header="0.3" footer="0.3"/>
  <x:tableParts count="1">
    <x:tablePart xmlns:r="http://schemas.openxmlformats.org/officeDocument/2006/relationships" r:id="R7e4f924458c24448"/>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28" hidden="0" customWidth="1"/>
    <x:col min="4" max="4" width="12" hidden="0" customWidth="1"/>
    <x:col min="5" max="5" width="28" hidden="0" customWidth="1"/>
    <x:col min="6" max="6" width="14" hidden="0" customWidth="1"/>
    <x:col min="7" max="7" width="12" hidden="0" customWidth="1"/>
    <x:col min="8" max="8" width="72" hidden="0" customWidth="1"/>
    <x:col min="9" max="9" width="64" hidden="0" customWidth="1"/>
    <x:col min="10" max="10" width="12" hidden="0" customWidth="1"/>
    <x:col min="11" max="11" width="52" hidden="0" customWidth="1"/>
    <x:col min="12" max="12" width="14" hidden="0" customWidth="1"/>
    <x:col min="13" max="13" width="56" hidden="0" customWidth="1"/>
  </x:cols>
  <x:sheetData>
    <x:row r="1" ht="34" customHeight="1">
      <x:c r="A1" s="3" t="str">
        <x:v>帝王来源单元</x:v>
      </x:c>
    </x:row>
    <x:row r="2" ht="24" customHeight="1">
      <x:c r="A2" s="6" t="str">
        <x:v>自动合并 4 个帝王来源包、45 个单元；数字平台、底本、定位和使用边界分开登记</x:v>
      </x:c>
    </x:row>
    <x:row r="4" ht="32" customHeight="1">
      <x:c r="A4" s="92" t="str">
        <x:v>source_unit_id</x:v>
      </x:c>
      <x:c r="B4" s="93" t="str">
        <x:v>source_entity_id</x:v>
      </x:c>
      <x:c r="C4" s="93" t="str">
        <x:v>史料名</x:v>
      </x:c>
      <x:c r="D4" s="93" t="str">
        <x:v>卷次</x:v>
      </x:c>
      <x:c r="E4" s="93" t="str">
        <x:v>原纪年</x:v>
      </x:c>
      <x:c r="F4" s="93" t="str">
        <x:v>网页公历标示</x:v>
      </x:c>
      <x:c r="G4" s="93" t="str">
        <x:v>当日条次</x:v>
      </x:c>
      <x:c r="H4" s="93" t="str">
        <x:v>直接记录网址</x:v>
      </x:c>
      <x:c r="I4" s="93" t="str">
        <x:v>数字底本说明</x:v>
      </x:c>
      <x:c r="J4" s="93" t="str">
        <x:v>证据等级</x:v>
      </x:c>
      <x:c r="K4" s="93" t="str">
        <x:v>权利策略</x:v>
      </x:c>
      <x:c r="L4" s="93" t="str">
        <x:v>核查日期</x:v>
      </x:c>
      <x:c r="M4" s="94" t="str">
        <x:v>说明</x:v>
      </x:c>
    </x:row>
    <x:row r="5" ht="68" customHeight="1">
      <x:c r="A5" s="99" t="str">
        <x:v>QH-SU-KX-0001</x:v>
      </x:c>
      <x:c r="B5" s="99" t="str">
        <x:v>SRC-027</x:v>
      </x:c>
      <x:c r="C5" s="99" t="str">
        <x:v>圣祖仁皇帝实录</x:v>
      </x:c>
      <x:c r="D5" s="99" t="str">
        <x:v>卷1</x:v>
      </x:c>
      <x:c r="E5" s="99" t="str">
        <x:v>顺治十八年正月初九日</x:v>
      </x:c>
      <x:c r="F5" s="99" t="str">
        <x:v>1661</x:v>
      </x:c>
      <x:c r="G5" s="99" t="str">
        <x:v>1/3</x:v>
      </x:c>
      <x:c r="H5" s="99" t="str">
        <x:v>https://sillok.history.go.kr/mc/id/qsilok_005_0010_0010_0010_0030_0010</x:v>
      </x:c>
      <x:c r="I5" s="99" t="str">
        <x:v>卷1属于中国第一历史档案馆藏原皇史宬大红绫本所据范围</x:v>
      </x:c>
      <x:c r="J5" s="99" t="str">
        <x:v>A2</x:v>
      </x:c>
      <x:c r="K5" s="99" t="str">
        <x:v>只保存必要短引文定位与链接不镜像整库</x:v>
      </x:c>
      <x:c r="L5" s="99" t="str">
        <x:v>2026-08-12</x:v>
      </x:c>
      <x:c r="M5" s="99" t="str">
        <x:v>即位礼与宣布次年为康熙元年的同日记录</x:v>
      </x:c>
    </x:row>
    <x:row r="6" ht="68" customHeight="1">
      <x:c r="A6" s="100" t="str">
        <x:v>QH-SU-KX-0300A</x:v>
      </x:c>
      <x:c r="B6" s="100" t="str">
        <x:v>SRC-027</x:v>
      </x:c>
      <x:c r="C6" s="100" t="str">
        <x:v>圣祖仁皇帝实录</x:v>
      </x:c>
      <x:c r="D6" s="100" t="str">
        <x:v>卷300</x:v>
      </x:c>
      <x:c r="E6" s="100" t="str">
        <x:v>康熙六十一年十一月十三日</x:v>
      </x:c>
      <x:c r="F6" s="100" t="str">
        <x:v>1722</x:v>
      </x:c>
      <x:c r="G6" s="100" t="str">
        <x:v>1/2</x:v>
      </x:c>
      <x:c r="H6" s="100" t="str">
        <x:v>https://sillok.history.go.kr/mc/id/qsilok_005_3000_0010_0010_0110_0010</x:v>
      </x:c>
      <x:c r="I6" s="100" t="str">
        <x:v>卷300属于故宫博物院图书馆藏原乾清宫小红绫本所据范围</x:v>
      </x:c>
      <x:c r="J6" s="100" t="str">
        <x:v>A2</x:v>
      </x:c>
      <x:c r="K6" s="100" t="str">
        <x:v>只保存必要短引文定位与链接不镜像整库</x:v>
      </x:c>
      <x:c r="L6" s="100" t="str">
        <x:v>2026-08-13</x:v>
      </x:c>
      <x:c r="M6" s="100" t="str">
        <x:v>崩逝过程与御榻口谕。本条只写寝宫，未写畅春园或清溪书屋。口谕与同日第2/2条遗诏文本分层保存。页面仅标公历年1722。</x:v>
      </x:c>
    </x:row>
    <x:row r="7" ht="68" customHeight="1">
      <x:c r="A7" s="100" t="str">
        <x:v>QH-SU-KX-0300</x:v>
      </x:c>
      <x:c r="B7" s="100" t="str">
        <x:v>SRC-027</x:v>
      </x:c>
      <x:c r="C7" s="100" t="str">
        <x:v>圣祖仁皇帝实录</x:v>
      </x:c>
      <x:c r="D7" s="100" t="str">
        <x:v>卷300</x:v>
      </x:c>
      <x:c r="E7" s="100" t="str">
        <x:v>康熙六十一年十一月十三日</x:v>
      </x:c>
      <x:c r="F7" s="100" t="str">
        <x:v>1722</x:v>
      </x:c>
      <x:c r="G7" s="100" t="str">
        <x:v>2/2</x:v>
      </x:c>
      <x:c r="H7" s="100" t="str">
        <x:v>https://sillok.history.go.kr/mc/id/qsilok_005_3000_0010_0010_0110_0020</x:v>
      </x:c>
      <x:c r="I7" s="100" t="str">
        <x:v>卷300属于故宫博物院图书馆藏原乾清宫小红绫本所据范围</x:v>
      </x:c>
      <x:c r="J7" s="100" t="str">
        <x:v>A2</x:v>
      </x:c>
      <x:c r="K7" s="100" t="str">
        <x:v>只保存必要短引文定位与链接不镜像整库</x:v>
      </x:c>
      <x:c r="L7" s="100" t="str">
        <x:v>2026-08-12</x:v>
      </x:c>
      <x:c r="M7" s="100" t="str">
        <x:v>遗诏文本；文本存在不等于遗诏形成与传达争议已解决</x:v>
      </x:c>
    </x:row>
    <x:row r="8" ht="68" customHeight="1">
      <x:c r="A8" s="100" t="str">
        <x:v>QH-SU-QSG-0214</x:v>
      </x:c>
      <x:c r="B8" s="100" t="str">
        <x:v>SRC-025</x:v>
      </x:c>
      <x:c r="C8" s="100" t="str">
        <x:v>清史稿</x:v>
      </x:c>
      <x:c r="D8" s="100" t="str">
        <x:v>卷214</x:v>
      </x:c>
      <x:c r="E8" s="100" t="str">
        <x:v>圣祖四后列传</x:v>
      </x:c>
      <x:c r="F8" s="100" t="str"/>
      <x:c r="G8" s="100" t="str">
        <x:v>孝诚至孝恭四传</x:v>
      </x:c>
      <x:c r="H8" s="100" t="str">
        <x:v>https://zh.wikisource.org/wiki/清史稿/卷214</x:v>
      </x:c>
      <x:c r="I8" s="100" t="str">
        <x:v>维基文库《清史稿》卷214后妃传。后出纪传体，可与本纪矛盾，不作终审。</x:v>
      </x:c>
      <x:c r="J8" s="100" t="str">
        <x:v>C</x:v>
      </x:c>
      <x:c r="K8" s="100" t="str">
        <x:v>只保存必要短引文定位与链接不镜像整库</x:v>
      </x:c>
      <x:c r="L8" s="100" t="str">
        <x:v>2026-08-13</x:v>
      </x:c>
      <x:c r="M8" s="100" t="str">
        <x:v>圣祖孝诚、孝昭、孝懿、孝恭。身份须按时态称号记录，不得只用最终谥号。玉牒原件未见。</x:v>
      </x:c>
    </x:row>
    <x:row r="9" ht="68" customHeight="1">
      <x:c r="A9" s="100" t="str">
        <x:v>QH-SU-QSG-0006</x:v>
      </x:c>
      <x:c r="B9" s="100" t="str">
        <x:v>SRC-025</x:v>
      </x:c>
      <x:c r="C9" s="100" t="str">
        <x:v>清史稿</x:v>
      </x:c>
      <x:c r="D9" s="100" t="str">
        <x:v>卷6</x:v>
      </x:c>
      <x:c r="E9" s="100" t="str">
        <x:v>康熙四年至二十年相关条</x:v>
      </x:c>
      <x:c r="F9" s="100" t="str"/>
      <x:c r="G9" s="100" t="str">
        <x:v>本纪多日</x:v>
      </x:c>
      <x:c r="H9" s="100" t="str">
        <x:v>https://zh.wikisource.org/wiki/清史稿/卷6</x:v>
      </x:c>
      <x:c r="I9" s="100" t="str">
        <x:v>维基文库《清史稿》卷6圣祖本纪一。后出本纪，不作终审。</x:v>
      </x:c>
      <x:c r="J9" s="100" t="str">
        <x:v>C</x:v>
      </x:c>
      <x:c r="K9" s="100" t="str">
        <x:v>只保存必要短引文定位与链接不镜像整库</x:v>
      </x:c>
      <x:c r="L9" s="100" t="str">
        <x:v>2026-08-13</x:v>
      </x:c>
      <x:c r="M9" s="100" t="str">
        <x:v>已核：四年九月辛卯册赫舍里氏；十三年五月丙寅胤礽生、皇后崩；十四年十二月丙寅立胤礽为皇太子；十六年八月丙寅册钮祜禄氏后、佟佳氏贵妃；十七年二月丁卯孝昭崩；二十年三月辛酉葬仁孝、孝昭于昌瑞山。立太子日与列传乙丑冲突。</x:v>
      </x:c>
    </x:row>
    <x:row r="10" ht="68" customHeight="1">
      <x:c r="A10" s="100" t="str">
        <x:v>QH-SU-QSG-0007</x:v>
      </x:c>
      <x:c r="B10" s="100" t="str">
        <x:v>SRC-025</x:v>
      </x:c>
      <x:c r="C10" s="100" t="str">
        <x:v>清史稿</x:v>
      </x:c>
      <x:c r="D10" s="100" t="str">
        <x:v>卷7</x:v>
      </x:c>
      <x:c r="E10" s="100" t="str">
        <x:v>康熙二十八年七月</x:v>
      </x:c>
      <x:c r="F10" s="100" t="str">
        <x:v>1689</x:v>
      </x:c>
      <x:c r="G10" s="100" t="str">
        <x:v>本纪条</x:v>
      </x:c>
      <x:c r="H10" s="100" t="str">
        <x:v>https://zh.wikisource.org/wiki/清史稿/卷7</x:v>
      </x:c>
      <x:c r="I10" s="100" t="str">
        <x:v>维基文库《清史稿》卷7圣祖本纪二。后出本纪，不作终审。</x:v>
      </x:c>
      <x:c r="J10" s="100" t="str">
        <x:v>C</x:v>
      </x:c>
      <x:c r="K10" s="100" t="str">
        <x:v>只保存必要短引文定位与链接不镜像整库</x:v>
      </x:c>
      <x:c r="L10" s="100" t="str">
        <x:v>2026-08-13</x:v>
      </x:c>
      <x:c r="M10" s="100" t="str">
        <x:v>二十八年秋七月癸卯册立贵妃佟氏为皇后；甲辰皇后崩，谥曰孝懿。</x:v>
      </x:c>
    </x:row>
    <x:row r="11" ht="68" customHeight="1">
      <x:c r="A11" s="100" t="str">
        <x:v>QH-SU-QSG-0009</x:v>
      </x:c>
      <x:c r="B11" s="100" t="str">
        <x:v>SRC-025</x:v>
      </x:c>
      <x:c r="C11" s="100" t="str">
        <x:v>清史稿</x:v>
      </x:c>
      <x:c r="D11" s="100" t="str">
        <x:v>卷9</x:v>
      </x:c>
      <x:c r="E11" s="100" t="str">
        <x:v>雍正元年五月辛丑</x:v>
      </x:c>
      <x:c r="F11" s="100" t="str">
        <x:v>1723</x:v>
      </x:c>
      <x:c r="G11" s="100" t="str">
        <x:v>本纪条</x:v>
      </x:c>
      <x:c r="H11" s="100" t="str">
        <x:v>https://zh.wikisource.org/wiki/清史稿/卷9</x:v>
      </x:c>
      <x:c r="I11" s="100" t="str">
        <x:v>维基文库《清史稿》卷9世宗本纪。后出本纪，不作终审。</x:v>
      </x:c>
      <x:c r="J11" s="100" t="str">
        <x:v>C</x:v>
      </x:c>
      <x:c r="K11" s="100" t="str">
        <x:v>只保存必要短引文定位与链接不镜像整库</x:v>
      </x:c>
      <x:c r="L11" s="100" t="str">
        <x:v>2026-08-13</x:v>
      </x:c>
      <x:c r="M11" s="100" t="str">
        <x:v>辛丑，仁寿皇太后崩，帝之生母也。徽号是否已上册，与后妃传「未上册」冲突。</x:v>
      </x:c>
    </x:row>
    <x:row r="12" ht="68" customHeight="1">
      <x:c r="A12" s="100" t="str">
        <x:v>QH-SU-KX-0048</x:v>
      </x:c>
      <x:c r="B12" s="100" t="str">
        <x:v>SRC-002</x:v>
      </x:c>
      <x:c r="C12" s="100" t="str">
        <x:v>圣祖仁皇帝实录</x:v>
      </x:c>
      <x:c r="D12" s="100" t="str">
        <x:v>卷48</x:v>
      </x:c>
      <x:c r="E12" s="100" t="str">
        <x:v>康熙十三年六月</x:v>
      </x:c>
      <x:c r="F12" s="100" t="str">
        <x:v>1674</x:v>
      </x:c>
      <x:c r="G12" s="100" t="str">
        <x:v>册谥诏</x:v>
      </x:c>
      <x:c r="H12" s="100" t="str">
        <x:v>https://ctext.org/wiki.pl?if=gb&amp;chapter=693352</x:v>
      </x:c>
      <x:c r="I12" s="100" t="str">
        <x:v>本次打开的是 ctext 对《圣祖实录》卷48的转录，不是韩国站条次级页面；待回一史馆检索或韩国站核原本图像。</x:v>
      </x:c>
      <x:c r="J12" s="100" t="str">
        <x:v>A2</x:v>
      </x:c>
      <x:c r="K12" s="100" t="str">
        <x:v>只保存必要短引文定位与链接不镜像整库</x:v>
      </x:c>
      <x:c r="L12" s="100" t="str">
        <x:v>2026-08-13</x:v>
      </x:c>
      <x:c r="M12" s="100" t="str">
        <x:v>庚申册谥册文称何舍里氏作朕元配、谥仁孝皇后。辛酉颁诏：五月初三日崩逝；六月二十七日册谥为仁孝皇后礼成。</x:v>
      </x:c>
    </x:row>
    <x:row r="13" ht="68" customHeight="1">
      <x:c r="A13" s="100" t="str">
        <x:v>QH-SU-QSG-0164</x:v>
      </x:c>
      <x:c r="B13" s="100" t="str">
        <x:v>SRC-025</x:v>
      </x:c>
      <x:c r="C13" s="100" t="str">
        <x:v>清史稿</x:v>
      </x:c>
      <x:c r="D13" s="100" t="str">
        <x:v>卷164</x:v>
      </x:c>
      <x:c r="E13" s="100" t="str">
        <x:v>皇子世表四圣祖系</x:v>
      </x:c>
      <x:c r="F13" s="100" t="str"/>
      <x:c r="G13" s="100" t="str">
        <x:v>圣祖系全表</x:v>
      </x:c>
      <x:c r="H13" s="100" t="str">
        <x:v>https://zh.wikisource.org/wiki/清史稿/卷164</x:v>
      </x:c>
      <x:c r="I13" s="100" t="str">
        <x:v>维基文库《清史稿》卷164皇子世表四。后出表，不作玉牒替代，不作终审。</x:v>
      </x:c>
      <x:c r="J13" s="100" t="str">
        <x:v>C</x:v>
      </x:c>
      <x:c r="K13" s="100" t="str">
        <x:v>只保存必要短引文定位与链接不镜像整库</x:v>
      </x:c>
      <x:c r="L13" s="100" t="str">
        <x:v>2026-08-13</x:v>
      </x:c>
      <x:c r="M13" s="100" t="str">
        <x:v>圣祖系入序第一至第二十四子，缺第四子行；卷末另列早薨未入序诸子。第四子即后来世宗，子孙见卷165，不能读成康熙无第四子。胤礽行作十四年立太子、四十六年废，与本纪八四十七年废冲突。</x:v>
      </x:c>
    </x:row>
    <x:row r="14" ht="68" customHeight="1">
      <x:c r="A14" s="100" t="str">
        <x:v>QH-SU-QSG-0008</x:v>
      </x:c>
      <x:c r="B14" s="100" t="str">
        <x:v>SRC-025</x:v>
      </x:c>
      <x:c r="C14" s="100" t="str">
        <x:v>清史稿</x:v>
      </x:c>
      <x:c r="D14" s="100" t="str">
        <x:v>卷8</x:v>
      </x:c>
      <x:c r="E14" s="100" t="str">
        <x:v>康熙四十七年至五十七年储位相关条</x:v>
      </x:c>
      <x:c r="F14" s="100" t="str"/>
      <x:c r="G14" s="100" t="str">
        <x:v>本纪多日</x:v>
      </x:c>
      <x:c r="H14" s="100" t="str">
        <x:v>https://zh.wikisource.org/wiki/清史稿/卷8</x:v>
      </x:c>
      <x:c r="I14" s="100" t="str">
        <x:v>维基文库《清史稿》卷8圣祖本纪三。后出本纪，不作终审。</x:v>
      </x:c>
      <x:c r="J14" s="100" t="str">
        <x:v>C</x:v>
      </x:c>
      <x:c r="K14" s="100" t="str">
        <x:v>只保存必要短引文定位与链接不镜像整库</x:v>
      </x:c>
      <x:c r="L14" s="100" t="str">
        <x:v>2026-08-13</x:v>
      </x:c>
      <x:c r="M14" s="100" t="str">
        <x:v>已核：四十七年九月丁丑拘执、丁酉颁废；十一月削胤禔、议储请胤禩不许、戊子释废太子；四十八年三月辛巳复立；五十一年九月庚戌再废锢咸安宫、十一月丁未告庙；五十七年二月癸卯朱天保请复立被诛。不得据此把崩逝改写成畅春园。</x:v>
      </x:c>
    </x:row>
    <x:row r="15" ht="68" customHeight="1">
      <x:c r="A15" s="100" t="str">
        <x:v>QH-SU-QSG-0220</x:v>
      </x:c>
      <x:c r="B15" s="100" t="str">
        <x:v>SRC-025</x:v>
      </x:c>
      <x:c r="C15" s="100" t="str">
        <x:v>清史稿</x:v>
      </x:c>
      <x:c r="D15" s="100" t="str">
        <x:v>卷220</x:v>
      </x:c>
      <x:c r="E15" s="100" t="str">
        <x:v>理密亲王允礽传</x:v>
      </x:c>
      <x:c r="F15" s="100" t="str"/>
      <x:c r="G15" s="100" t="str">
        <x:v>列传</x:v>
      </x:c>
      <x:c r="H15" s="100" t="str">
        <x:v>https://zh.wikisource.org/wiki/清史稿/卷220</x:v>
      </x:c>
      <x:c r="I15" s="100" t="str">
        <x:v>维基文库《清史稿》卷220诸王传。后出列传，可与本纪矛盾，不作终审。</x:v>
      </x:c>
      <x:c r="J15" s="100" t="str">
        <x:v>C</x:v>
      </x:c>
      <x:c r="K15" s="100" t="str">
        <x:v>只保存必要短引文定位与链接不镜像整库</x:v>
      </x:c>
      <x:c r="L15" s="100" t="str">
        <x:v>2026-08-13</x:v>
      </x:c>
      <x:c r="M15" s="100" t="str">
        <x:v>理密亲王允礽：十四年十二月乙丑立为皇太子；四十七年九月废；四十八年三月辛巳复立；五十一年十月复废锢咸安宫。立储日、再废月份与本纪冲突。罪状、狂易、魇魅均为上谕/传文用词，不得写成已核诊断。</x:v>
      </x:c>
    </x:row>
    <x:row r="16" ht="68" customHeight="1">
      <x:c r="A16" s="100" t="str">
        <x:v>QH-SU-KX-0234A</x:v>
      </x:c>
      <x:c r="B16" s="100" t="str">
        <x:v>SRC-027</x:v>
      </x:c>
      <x:c r="C16" s="100" t="str">
        <x:v>圣祖仁皇帝实录</x:v>
      </x:c>
      <x:c r="D16" s="100" t="str">
        <x:v>卷234</x:v>
      </x:c>
      <x:c r="E16" s="100" t="str">
        <x:v>康熙四十七年九月乙亥</x:v>
      </x:c>
      <x:c r="F16" s="100" t="str">
        <x:v>1708</x:v>
      </x:c>
      <x:c r="G16" s="100" t="str">
        <x:v>1/2</x:v>
      </x:c>
      <x:c r="H16" s="100" t="str">
        <x:v>https://sillok.history.go.kr/mc/id/qsilok_005_2340_0010_0010_0020_0010</x:v>
      </x:c>
      <x:c r="I16" s="100" t="str">
        <x:v>卷234属于故宫博物院图书馆藏原乾清宫小红绫本所据范围</x:v>
      </x:c>
      <x:c r="J16" s="100" t="str">
        <x:v>A2</x:v>
      </x:c>
      <x:c r="K16" s="100" t="str">
        <x:v>只保存必要短引文定位与链接不镜像整库</x:v>
      </x:c>
      <x:c r="L16" s="100" t="str">
        <x:v>2026-08-13</x:v>
      </x:c>
      <x:c r="M16" s="100" t="str">
        <x:v>九月初二乙亥驻跸布尔哈苏台。同条前有十八阿哥病「諒已無濟」谕，不得写成废太子原因。页面仅标公历年1708。</x:v>
      </x:c>
    </x:row>
    <x:row r="17" ht="68" customHeight="1">
      <x:c r="A17" s="100" t="str">
        <x:v>QH-SU-KX-0234B</x:v>
      </x:c>
      <x:c r="B17" s="100" t="str">
        <x:v>SRC-027</x:v>
      </x:c>
      <x:c r="C17" s="100" t="str">
        <x:v>圣祖仁皇帝实录</x:v>
      </x:c>
      <x:c r="D17" s="100" t="str">
        <x:v>卷234</x:v>
      </x:c>
      <x:c r="E17" s="100" t="str">
        <x:v>康熙四十七年九月丁丑</x:v>
      </x:c>
      <x:c r="F17" s="100" t="str">
        <x:v>1708</x:v>
      </x:c>
      <x:c r="G17" s="100" t="str">
        <x:v>1/2</x:v>
      </x:c>
      <x:c r="H17" s="100" t="str">
        <x:v>https://sillok.history.go.kr/mc/id/qsilok_005_2340_0010_0010_0030_0010</x:v>
      </x:c>
      <x:c r="I17" s="100" t="str">
        <x:v>卷234属于故宫博物院图书馆藏原乾清宫小红绫本所据范围</x:v>
      </x:c>
      <x:c r="J17" s="100" t="str">
        <x:v>A2</x:v>
      </x:c>
      <x:c r="K17" s="100" t="str">
        <x:v>只保存必要短引文定位与链接不镜像整库</x:v>
      </x:c>
      <x:c r="L17" s="100" t="str">
        <x:v>2026-08-13</x:v>
      </x:c>
      <x:c r="M17" s="100" t="str">
        <x:v>九月初四丁丑长谕与拘执。上谕「生而剋母」等只记为用语，不得写成已核诊断或死因。与同日第2/2条允祄薨分层。页面仅标公历年1708。</x:v>
      </x:c>
    </x:row>
    <x:row r="18" ht="68" customHeight="1">
      <x:c r="A18" s="100" t="str">
        <x:v>QH-SU-KX-0234C</x:v>
      </x:c>
      <x:c r="B18" s="100" t="str">
        <x:v>SRC-027</x:v>
      </x:c>
      <x:c r="C18" s="100" t="str">
        <x:v>圣祖仁皇帝实录</x:v>
      </x:c>
      <x:c r="D18" s="100" t="str">
        <x:v>卷234</x:v>
      </x:c>
      <x:c r="E18" s="100" t="str">
        <x:v>康熙四十七年九月丁丑</x:v>
      </x:c>
      <x:c r="F18" s="100" t="str">
        <x:v>1708</x:v>
      </x:c>
      <x:c r="G18" s="100" t="str">
        <x:v>2/2</x:v>
      </x:c>
      <x:c r="H18" s="100" t="str">
        <x:v>https://sillok.history.go.kr/mc/id/qsilok_005_2340_0010_0010_0030_0020</x:v>
      </x:c>
      <x:c r="I18" s="100" t="str">
        <x:v>卷234属于故宫博物院图书馆藏原乾清宫小红绫本所据范围</x:v>
      </x:c>
      <x:c r="J18" s="100" t="str">
        <x:v>A2</x:v>
      </x:c>
      <x:c r="K18" s="100" t="str">
        <x:v>只保存必要短引文定位与链接不镜像整库</x:v>
      </x:c>
      <x:c r="L18" s="100" t="str">
        <x:v>2026-08-13</x:v>
      </x:c>
      <x:c r="M18" s="100" t="str">
        <x:v>同日第2/2条：皇子允祄薨。不得与第1/2条拘执合成因果关系。页面仅标公历年1708。</x:v>
      </x:c>
    </x:row>
    <x:row r="19" ht="68" customHeight="1">
      <x:c r="A19" s="100" t="str">
        <x:v>QH-SU-KX-0234D</x:v>
      </x:c>
      <x:c r="B19" s="100" t="str">
        <x:v>SRC-027</x:v>
      </x:c>
      <x:c r="C19" s="100" t="str">
        <x:v>圣祖仁皇帝实录</x:v>
      </x:c>
      <x:c r="D19" s="100" t="str">
        <x:v>卷234</x:v>
      </x:c>
      <x:c r="E19" s="100" t="str">
        <x:v>康熙四十七年九月丁酉</x:v>
      </x:c>
      <x:c r="F19" s="100" t="str">
        <x:v>1708</x:v>
      </x:c>
      <x:c r="G19" s="100" t="str">
        <x:v>1/2</x:v>
      </x:c>
      <x:c r="H19" s="100" t="str">
        <x:v>https://sillok.history.go.kr/mc/id/qsilok_005_2340_0010_0010_0190_0010</x:v>
      </x:c>
      <x:c r="I19" s="100" t="str">
        <x:v>卷234属于故宫博物院图书馆藏原乾清宫小红绫本所据范围</x:v>
      </x:c>
      <x:c r="J19" s="100" t="str">
        <x:v>A2</x:v>
      </x:c>
      <x:c r="K19" s="100" t="str">
        <x:v>只保存必要短引文定位与链接不镜像整库</x:v>
      </x:c>
      <x:c r="L19" s="100" t="str">
        <x:v>2026-08-13</x:v>
      </x:c>
      <x:c r="M19" s="100" t="str">
        <x:v>九月二十四丁酉颁诏废太子。诏书自述九月十八日告祭，与丁丑拘执、丁酉颁诏分三日。诏文「狂易成疾」只记为用语。页面仅标公历年1708。</x:v>
      </x:c>
    </x:row>
    <x:row r="20" ht="68" customHeight="1">
      <x:c r="A20" s="100" t="str">
        <x:v>QH-SU-KX-0234E</x:v>
      </x:c>
      <x:c r="B20" s="100" t="str">
        <x:v>SRC-027</x:v>
      </x:c>
      <x:c r="C20" s="100" t="str">
        <x:v>圣祖仁皇帝实录</x:v>
      </x:c>
      <x:c r="D20" s="100" t="str">
        <x:v>卷234</x:v>
      </x:c>
      <x:c r="E20" s="100" t="str">
        <x:v>康熙四十七年九月戊戌</x:v>
      </x:c>
      <x:c r="F20" s="100" t="str">
        <x:v>1708</x:v>
      </x:c>
      <x:c r="G20" s="100" t="str">
        <x:v>1/2</x:v>
      </x:c>
      <x:c r="H20" s="100" t="str">
        <x:v>https://sillok.history.go.kr/mc/id/qsilok_005_2340_0010_0010_0200_0010</x:v>
      </x:c>
      <x:c r="I20" s="100" t="str">
        <x:v>卷234属于故宫博物院图书馆藏原乾清宫小红绫本所据范围</x:v>
      </x:c>
      <x:c r="J20" s="100" t="str">
        <x:v>A2</x:v>
      </x:c>
      <x:c r="K20" s="100" t="str">
        <x:v>只保存必要短引文定位与链接不镜像整库</x:v>
      </x:c>
      <x:c r="L20" s="100" t="str">
        <x:v>2026-08-13</x:v>
      </x:c>
      <x:c r="M20" s="100" t="str">
        <x:v>九月二十五戊戌上谕转述拘禁时允禔奏对。不得写成八爷党或镇魇已证。页面仅标公历年1708。</x:v>
      </x:c>
    </x:row>
    <x:row r="21" ht="68" customHeight="1">
      <x:c r="A21" s="100" t="str">
        <x:v>QH-SU-KX-0237A</x:v>
      </x:c>
      <x:c r="B21" s="100" t="str">
        <x:v>SRC-027</x:v>
      </x:c>
      <x:c r="C21" s="100" t="str">
        <x:v>圣祖仁皇帝实录</x:v>
      </x:c>
      <x:c r="D21" s="100" t="str">
        <x:v>卷237</x:v>
      </x:c>
      <x:c r="E21" s="100" t="str">
        <x:v>康熙四十八年三月辛巳</x:v>
      </x:c>
      <x:c r="F21" s="100" t="str">
        <x:v>1709</x:v>
      </x:c>
      <x:c r="G21" s="100" t="str">
        <x:v>1/3</x:v>
      </x:c>
      <x:c r="H21" s="100" t="str">
        <x:v>https://sillok.history.go.kr/mc/id/qsilok_005_2370_0010_0010_0070_0010</x:v>
      </x:c>
      <x:c r="I21" s="100" t="str">
        <x:v>卷237属于故宫博物院图书馆藏原乾清宫小红绫本所据范围</x:v>
      </x:c>
      <x:c r="J21" s="100" t="str">
        <x:v>A2</x:v>
      </x:c>
      <x:c r="K21" s="100" t="str">
        <x:v>只保存必要短引文定位与链接不镜像整库</x:v>
      </x:c>
      <x:c r="L21" s="100" t="str">
        <x:v>2026-08-13</x:v>
      </x:c>
      <x:c r="M21" s="100" t="str">
        <x:v>三月初十辛巳授册宝复立皇太子并复封皇太子妃。当日1/3；2/3、3/3未拆入本单元。页面仅标公历年1709。</x:v>
      </x:c>
    </x:row>
    <x:row r="22" ht="68" customHeight="1">
      <x:c r="A22" s="100" t="str">
        <x:v>QH-SU-QSG-0166</x:v>
      </x:c>
      <x:c r="B22" s="100" t="str">
        <x:v>SRC-025</x:v>
      </x:c>
      <x:c r="C22" s="100" t="str">
        <x:v>清史稿</x:v>
      </x:c>
      <x:c r="D22" s="100" t="str">
        <x:v>卷166</x:v>
      </x:c>
      <x:c r="E22" s="100" t="str">
        <x:v>公主表圣祖系</x:v>
      </x:c>
      <x:c r="F22" s="100" t="str"/>
      <x:c r="G22" s="100" t="str">
        <x:v>圣祖二十女加抚育一女</x:v>
      </x:c>
      <x:c r="H22" s="100" t="str">
        <x:v>https://zh.wikisource.org/wiki/清史稿/卷166</x:v>
      </x:c>
      <x:c r="I22" s="100" t="str">
        <x:v>维基文库《清史稿》卷166公主表。后出表，不作玉牒替代，不作终审。</x:v>
      </x:c>
      <x:c r="J22" s="100" t="str">
        <x:v>C</x:v>
      </x:c>
      <x:c r="K22" s="100" t="str">
        <x:v>只保存必要短引文定位与链接不镜像整库</x:v>
      </x:c>
      <x:c r="L22" s="100" t="str">
        <x:v>2026-08-14</x:v>
      </x:c>
      <x:c r="M22" s="100" t="str">
        <x:v>圣祖亲生女第一至第二十，另附抚弟恭亲王常宁第一女。和硕/固伦、下嫁、生薨按表登记。追进固伦不得写成生前进封。额驸同名不自动合并。玉牒原件未见。</x:v>
      </x:c>
    </x:row>
    <x:row r="23" ht="68" customHeight="1">
      <x:c r="A23" s="100" t="str">
        <x:v>QH-SU-KX-0058A</x:v>
      </x:c>
      <x:c r="B23" s="100" t="str">
        <x:v>SRC-027</x:v>
      </x:c>
      <x:c r="C23" s="100" t="str">
        <x:v>圣祖仁皇帝实录</x:v>
      </x:c>
      <x:c r="D23" s="100" t="str">
        <x:v>卷58</x:v>
      </x:c>
      <x:c r="E23" s="100" t="str">
        <x:v>康熙十四年十二月十三日</x:v>
      </x:c>
      <x:c r="F23" s="100" t="str">
        <x:v>1676</x:v>
      </x:c>
      <x:c r="G23" s="100" t="str">
        <x:v>1/2</x:v>
      </x:c>
      <x:c r="H23" s="100" t="str">
        <x:v>https://sillok.history.go.kr/mc/id/qsilok_005_0580_0010_0020_0090_0010</x:v>
      </x:c>
      <x:c r="I23" s="100" t="str">
        <x:v>卷58属于中国第一历史档案馆藏原皇史宬大红绫本所据范围</x:v>
      </x:c>
      <x:c r="J23" s="100" t="str">
        <x:v>A2</x:v>
      </x:c>
      <x:c r="K23" s="100" t="str">
        <x:v>只保存必要短引文定位与链接不镜像整库</x:v>
      </x:c>
      <x:c r="L23" s="100" t="str">
        <x:v>2026-08-14</x:v>
      </x:c>
      <x:c r="M23" s="100" t="str">
        <x:v>立太子丙寅条。册立仪与正副使。同日第2/2条为户部折征军饷，不拆入。</x:v>
      </x:c>
    </x:row>
    <x:row r="24" ht="68" customHeight="1">
      <x:c r="A24" s="100" t="str">
        <x:v>QH-SU-KX-0251A</x:v>
      </x:c>
      <x:c r="B24" s="100" t="str">
        <x:v>SRC-027</x:v>
      </x:c>
      <x:c r="C24" s="100" t="str">
        <x:v>圣祖仁皇帝实录</x:v>
      </x:c>
      <x:c r="D24" s="100" t="str">
        <x:v>卷251</x:v>
      </x:c>
      <x:c r="E24" s="100" t="str">
        <x:v>康熙五十一年九月三十日</x:v>
      </x:c>
      <x:c r="F24" s="100" t="str">
        <x:v>1712</x:v>
      </x:c>
      <x:c r="G24" s="100" t="str">
        <x:v>2/2</x:v>
      </x:c>
      <x:c r="H24" s="100" t="str">
        <x:v>https://sillok.history.go.kr/mc/id/qsilok_005_2510_0010_0010_0250_0020</x:v>
      </x:c>
      <x:c r="I24" s="100" t="str">
        <x:v>卷251属于故宫博物院图书馆藏原乾清宫小红绫本所据范围</x:v>
      </x:c>
      <x:c r="J24" s="100" t="str">
        <x:v>A2</x:v>
      </x:c>
      <x:c r="K24" s="100" t="str">
        <x:v>只保存必要短引文定位与链接不镜像整库</x:v>
      </x:c>
      <x:c r="L24" s="100" t="str">
        <x:v>2026-08-14</x:v>
      </x:c>
      <x:c r="M24" s="100" t="str">
        <x:v>再废第一日：谕诸皇子拘执看守，未写废字与咸安宫。同日第1/2条奉皇太后回驻畅春园，不拆入。明日指十月初一辛亥。</x:v>
      </x:c>
    </x:row>
    <x:row r="25" ht="68" customHeight="1">
      <x:c r="A25" s="100" t="str">
        <x:v>QH-SU-KX-0251B</x:v>
      </x:c>
      <x:c r="B25" s="100" t="str">
        <x:v>SRC-027</x:v>
      </x:c>
      <x:c r="C25" s="100" t="str">
        <x:v>圣祖仁皇帝实录</x:v>
      </x:c>
      <x:c r="D25" s="100" t="str">
        <x:v>卷251</x:v>
      </x:c>
      <x:c r="E25" s="100" t="str">
        <x:v>康熙五十一年十月初一日</x:v>
      </x:c>
      <x:c r="F25" s="100" t="str">
        <x:v>1712</x:v>
      </x:c>
      <x:c r="G25" s="100" t="str">
        <x:v>4/64</x:v>
      </x:c>
      <x:c r="H25" s="100" t="str">
        <x:v>https://sillok.history.go.kr/mc/id/qsilok_005_2510_0010_0020_0010_0040</x:v>
      </x:c>
      <x:c r="I25" s="100" t="str">
        <x:v>卷251属于故宫博物院图书馆藏原乾清宫小红绫本所据范围</x:v>
      </x:c>
      <x:c r="J25" s="100" t="str">
        <x:v>A2</x:v>
      </x:c>
      <x:c r="K25" s="100" t="str">
        <x:v>只保存必要短引文定位与链接不镜像整库</x:v>
      </x:c>
      <x:c r="L25" s="100" t="str">
        <x:v>2026-08-14</x:v>
      </x:c>
      <x:c r="M25" s="100" t="str">
        <x:v>再废第二日：御笔朱书谕仍行废黜禁锢。同日第1-3条为祭祀与时宪历，不拆入。本条仍无咸安宫。</x:v>
      </x:c>
    </x:row>
    <x:row r="26" ht="68" customHeight="1">
      <x:c r="A26" s="100" t="str">
        <x:v>QH-SU-KX-0056A</x:v>
      </x:c>
      <x:c r="B26" s="100" t="str">
        <x:v>SRC-027</x:v>
      </x:c>
      <x:c r="C26" s="100" t="str">
        <x:v>圣祖仁皇帝实录</x:v>
      </x:c>
      <x:c r="D26" s="100" t="str">
        <x:v>卷56</x:v>
      </x:c>
      <x:c r="E26" s="100" t="str">
        <x:v>康熙十四年六月癸亥</x:v>
      </x:c>
      <x:c r="F26" s="100" t="str">
        <x:v>1675</x:v>
      </x:c>
      <x:c r="G26" s="100" t="str">
        <x:v>1/3</x:v>
      </x:c>
      <x:c r="H26" s="100" t="str">
        <x:v>https://sillok.history.go.kr/mc/id/qsilok_005_0560_0010_0010_0050_0010</x:v>
      </x:c>
      <x:c r="I26" s="100" t="str">
        <x:v>卷56属于中国第一历史档案馆藏原皇史宬大红绫本所据范围</x:v>
      </x:c>
      <x:c r="J26" s="100" t="str">
        <x:v>A2</x:v>
      </x:c>
      <x:c r="K26" s="100" t="str">
        <x:v>只保存必要短引文定位与链接不镜像整库</x:v>
      </x:c>
      <x:c r="L26" s="100" t="str">
        <x:v>2026-08-16</x:v>
      </x:c>
      <x:c r="M26" s="100" t="str">
        <x:v>谕礼部以嫡子允礽为皇太子并选择吉期。不是册立当日。同日第2/3条为人事升迁，不拆入。页面仅标公历年1675。通行「六月初三日」与本条癸亥（初六）不符。</x:v>
      </x:c>
    </x:row>
    <x:row r="27" ht="68" customHeight="1">
      <x:c r="A27" s="100" t="str">
        <x:v>QH-SU-YZ-QSG-0009A</x:v>
      </x:c>
      <x:c r="B27" s="100" t="str">
        <x:v>SRC-025</x:v>
      </x:c>
      <x:c r="C27" s="100" t="str">
        <x:v>清史稿</x:v>
      </x:c>
      <x:c r="D27" s="100" t="str">
        <x:v>卷9</x:v>
      </x:c>
      <x:c r="E27" s="100" t="str">
        <x:v>康熙六十一年十一月</x:v>
      </x:c>
      <x:c r="F27" s="100" t="str">
        <x:v>1722</x:v>
      </x:c>
      <x:c r="G27" s="100" t="str">
        <x:v>本纪条</x:v>
      </x:c>
      <x:c r="H27" s="100" t="str">
        <x:v>https://zh.wikisource.org/wiki/清史稿/卷9</x:v>
      </x:c>
      <x:c r="I27" s="100" t="str">
        <x:v>维基文库《清史稿》卷9世宗本纪。后出本纪，不作终审。</x:v>
      </x:c>
      <x:c r="J27" s="100" t="str">
        <x:v>C</x:v>
      </x:c>
      <x:c r="K27" s="100" t="str">
        <x:v>只保存必要短引文定位与链接不镜像整库</x:v>
      </x:c>
      <x:c r="L27" s="100" t="str">
        <x:v>2026-08-14</x:v>
      </x:c>
      <x:c r="M27" s="100" t="str">
        <x:v>畅春园不豫、甲午大渐宣诏嗣位、圣祖崩、辛丑即位、明年雍正元年、四人总理事务、召胤禵。甲午=十一月十三日与实录崩日同；辛丑即位比遗诏文本晚七日。不得把改诏说写进本条。</x:v>
      </x:c>
    </x:row>
    <x:row r="28" ht="68" customHeight="1">
      <x:c r="A28" s="100" t="str">
        <x:v>QH-SU-YZ-QSG-0009B</x:v>
      </x:c>
      <x:c r="B28" s="100" t="str">
        <x:v>SRC-025</x:v>
      </x:c>
      <x:c r="C28" s="100" t="str">
        <x:v>清史稿</x:v>
      </x:c>
      <x:c r="D28" s="100" t="str">
        <x:v>卷9</x:v>
      </x:c>
      <x:c r="E28" s="100" t="str">
        <x:v>康熙六十一年十二月</x:v>
      </x:c>
      <x:c r="F28" s="100" t="str">
        <x:v>1723</x:v>
      </x:c>
      <x:c r="G28" s="100" t="str">
        <x:v>本纪条</x:v>
      </x:c>
      <x:c r="H28" s="100" t="str">
        <x:v>https://zh.wikisource.org/wiki/清史稿/卷9</x:v>
      </x:c>
      <x:c r="I28" s="100" t="str">
        <x:v>维基文库《清史稿》卷9世宗本纪。后出本纪，不作终审。</x:v>
      </x:c>
      <x:c r="J28" s="100" t="str">
        <x:v>C</x:v>
      </x:c>
      <x:c r="K28" s="100" t="str">
        <x:v>只保存必要短引文定位与链接不镜像整库</x:v>
      </x:c>
      <x:c r="L28" s="100" t="str">
        <x:v>2026-08-14</x:v>
      </x:c>
      <x:c r="M28" s="100" t="str">
        <x:v>壬戌封廉亲王、怡亲王等。甲子命隆科多为吏部尚书。不得据此写成九子夺嫡结束。</x:v>
      </x:c>
    </x:row>
    <x:row r="29" ht="68" customHeight="1">
      <x:c r="A29" s="100" t="str">
        <x:v>QH-SU-YZ-QSG-0009C</x:v>
      </x:c>
      <x:c r="B29" s="100" t="str">
        <x:v>SRC-025</x:v>
      </x:c>
      <x:c r="C29" s="100" t="str">
        <x:v>清史稿</x:v>
      </x:c>
      <x:c r="D29" s="100" t="str">
        <x:v>卷9</x:v>
      </x:c>
      <x:c r="E29" s="100" t="str">
        <x:v>雍正元年三月甲申</x:v>
      </x:c>
      <x:c r="F29" s="100" t="str">
        <x:v>1723</x:v>
      </x:c>
      <x:c r="G29" s="100" t="str">
        <x:v>本纪条</x:v>
      </x:c>
      <x:c r="H29" s="100" t="str">
        <x:v>https://zh.wikisource.org/wiki/清史稿/卷9</x:v>
      </x:c>
      <x:c r="I29" s="100" t="str">
        <x:v>维基文库《清史稿》卷9世宗本纪。后出本纪，不作终审。</x:v>
      </x:c>
      <x:c r="J29" s="100" t="str">
        <x:v>C</x:v>
      </x:c>
      <x:c r="K29" s="100" t="str">
        <x:v>只保存必要短引文定位与链接不镜像整库</x:v>
      </x:c>
      <x:c r="L29" s="100" t="str">
        <x:v>2026-08-14</x:v>
      </x:c>
      <x:c r="M29" s="100" t="str">
        <x:v>加隆科多、马齐、年羹尧太保；封年羹尧三等公。太保与公爵同日条，仍分主张。</x:v>
      </x:c>
    </x:row>
    <x:row r="30" ht="68" customHeight="1">
      <x:c r="A30" s="100" t="str">
        <x:v>QH-SU-YZ-QSG-0009D</x:v>
      </x:c>
      <x:c r="B30" s="100" t="str">
        <x:v>SRC-025</x:v>
      </x:c>
      <x:c r="C30" s="100" t="str">
        <x:v>清史稿</x:v>
      </x:c>
      <x:c r="D30" s="100" t="str">
        <x:v>卷9</x:v>
      </x:c>
      <x:c r="E30" s="100" t="str">
        <x:v>雍正元年八月甲子</x:v>
      </x:c>
      <x:c r="F30" s="100" t="str">
        <x:v>1723</x:v>
      </x:c>
      <x:c r="G30" s="100" t="str">
        <x:v>本纪条</x:v>
      </x:c>
      <x:c r="H30" s="100" t="str">
        <x:v>https://zh.wikisource.org/wiki/清史稿/卷9</x:v>
      </x:c>
      <x:c r="I30" s="100" t="str">
        <x:v>维基文库《清史稿》卷9世宗本纪。后出本纪，不作终审。</x:v>
      </x:c>
      <x:c r="J30" s="100" t="str">
        <x:v>C</x:v>
      </x:c>
      <x:c r="K30" s="100" t="str">
        <x:v>只保存必要短引文定位与链接不镜像整库</x:v>
      </x:c>
      <x:c r="L30" s="100" t="str">
        <x:v>2026-08-14</x:v>
      </x:c>
      <x:c r="M30" s="100" t="str">
        <x:v>召王大臣九卿面谕建储：亲写密封藏正大光明匾额之后。自述去年十一月仓卒一言而定，是上谕用语，不是对改诏说的裁断。</x:v>
      </x:c>
    </x:row>
    <x:row r="31" ht="68" customHeight="1">
      <x:c r="A31" s="100" t="str">
        <x:v>QH-SU-YZ-QSG-0009E</x:v>
      </x:c>
      <x:c r="B31" s="100" t="str">
        <x:v>SRC-025</x:v>
      </x:c>
      <x:c r="C31" s="100" t="str">
        <x:v>清史稿</x:v>
      </x:c>
      <x:c r="D31" s="100" t="str">
        <x:v>卷9</x:v>
      </x:c>
      <x:c r="E31" s="100" t="str">
        <x:v>雍正元年九月至十二月</x:v>
      </x:c>
      <x:c r="F31" s="100" t="str">
        <x:v>1723</x:v>
      </x:c>
      <x:c r="G31" s="100" t="str">
        <x:v>本纪多日</x:v>
      </x:c>
      <x:c r="H31" s="100" t="str">
        <x:v>https://zh.wikisource.org/wiki/清史稿/卷9</x:v>
      </x:c>
      <x:c r="I31" s="100" t="str">
        <x:v>维基文库《清史稿》卷9世宗本纪。后出本纪，不作终审。</x:v>
      </x:c>
      <x:c r="J31" s="100" t="str">
        <x:v>C</x:v>
      </x:c>
      <x:c r="K31" s="100" t="str">
        <x:v>只保存必要短引文定位与链接不镜像整库</x:v>
      </x:c>
      <x:c r="L31" s="100" t="str">
        <x:v>2026-08-14</x:v>
      </x:c>
      <x:c r="M31" s="100" t="str">
        <x:v>九月丁丑朔葬圣祖于景陵、孝恭皇后祔；十月戊申授年羹尧抚远大将军；十二月丁卯册嫡妃那拉氏为皇后、封年氏为贵妃。孝恭祔葬不能倒写成康熙朝皇后。</x:v>
      </x:c>
    </x:row>
    <x:row r="32" ht="68" customHeight="1">
      <x:c r="A32" s="100" t="str">
        <x:v>QH-SU-YZ-QSG-0009H</x:v>
      </x:c>
      <x:c r="B32" s="100" t="str">
        <x:v>SRC-025</x:v>
      </x:c>
      <x:c r="C32" s="100" t="str">
        <x:v>清史稿</x:v>
      </x:c>
      <x:c r="D32" s="100" t="str">
        <x:v>卷9</x:v>
      </x:c>
      <x:c r="E32" s="100" t="str">
        <x:v>雍正二年三月</x:v>
      </x:c>
      <x:c r="F32" s="100" t="str">
        <x:v>1724</x:v>
      </x:c>
      <x:c r="G32" s="100" t="str">
        <x:v>本纪条</x:v>
      </x:c>
      <x:c r="H32" s="100" t="str">
        <x:v>https://zh.wikisource.org/wiki/清史稿/卷9</x:v>
      </x:c>
      <x:c r="I32" s="100" t="str">
        <x:v>维基文库《清史稿》卷9世宗本纪。后出本纪，不作终审。</x:v>
      </x:c>
      <x:c r="J32" s="100" t="str">
        <x:v>C</x:v>
      </x:c>
      <x:c r="K32" s="100" t="str">
        <x:v>只保存必要短引文定位与链接不镜像整库</x:v>
      </x:c>
      <x:c r="L32" s="100" t="str">
        <x:v>2026-08-14</x:v>
      </x:c>
      <x:c r="M32" s="100" t="str">
        <x:v>岳钟琪师抵贼巢，罗卜藏丹津遁，青海平。封年羹尧一等公、岳钟琪三等公。战况细节待方略与实录。</x:v>
      </x:c>
    </x:row>
    <x:row r="33" ht="68" customHeight="1">
      <x:c r="A33" s="100" t="str">
        <x:v>QH-SU-YZ-QSG-0009I</x:v>
      </x:c>
      <x:c r="B33" s="100" t="str">
        <x:v>SRC-025</x:v>
      </x:c>
      <x:c r="C33" s="100" t="str">
        <x:v>清史稿</x:v>
      </x:c>
      <x:c r="D33" s="100" t="str">
        <x:v>卷9</x:v>
      </x:c>
      <x:c r="E33" s="100" t="str">
        <x:v>雍正三年三月至十二月</x:v>
      </x:c>
      <x:c r="F33" s="100" t="str">
        <x:v>1725</x:v>
      </x:c>
      <x:c r="G33" s="100" t="str">
        <x:v>本纪多日</x:v>
      </x:c>
      <x:c r="H33" s="100" t="str">
        <x:v>https://zh.wikisource.org/wiki/清史稿/卷9</x:v>
      </x:c>
      <x:c r="I33" s="100" t="str">
        <x:v>维基文库《清史稿》卷9世宗本纪。后出本纪，不作终审。</x:v>
      </x:c>
      <x:c r="J33" s="100" t="str">
        <x:v>C</x:v>
      </x:c>
      <x:c r="K33" s="100" t="str">
        <x:v>只保存必要短引文定位与链接不镜像整库</x:v>
      </x:c>
      <x:c r="L33" s="100" t="str">
        <x:v>2026-08-14</x:v>
      </x:c>
      <x:c r="M33" s="100" t="str">
        <x:v>辛酉责夕惕朝乾；四月调杭州将军；六月削太保；七月削隆科多太保、年羹尧黜为闲散；十二月甲戌议罪九十二款、赐死。赐死与列传自裁并存。</x:v>
      </x:c>
    </x:row>
    <x:row r="34" ht="68" customHeight="1">
      <x:c r="A34" s="100" t="str">
        <x:v>QH-SU-YZ-QSG-0009K</x:v>
      </x:c>
      <x:c r="B34" s="100" t="str">
        <x:v>SRC-025</x:v>
      </x:c>
      <x:c r="C34" s="100" t="str">
        <x:v>清史稿</x:v>
      </x:c>
      <x:c r="D34" s="100" t="str">
        <x:v>卷9</x:v>
      </x:c>
      <x:c r="E34" s="100" t="str">
        <x:v>雍正四年正月戊戌</x:v>
      </x:c>
      <x:c r="F34" s="100" t="str">
        <x:v>1726</x:v>
      </x:c>
      <x:c r="G34" s="100" t="str">
        <x:v>本纪条</x:v>
      </x:c>
      <x:c r="H34" s="100" t="str">
        <x:v>https://zh.wikisource.org/wiki/清史稿/卷9</x:v>
      </x:c>
      <x:c r="I34" s="100" t="str">
        <x:v>维基文库《清史稿》卷9世宗本纪。后出本纪，不作终审。</x:v>
      </x:c>
      <x:c r="J34" s="100" t="str">
        <x:v>C</x:v>
      </x:c>
      <x:c r="K34" s="100" t="str">
        <x:v>只保存必要短引文定位与链接不镜像整库</x:v>
      </x:c>
      <x:c r="L34" s="100" t="str">
        <x:v>2026-08-14</x:v>
      </x:c>
      <x:c r="M34" s="100" t="str">
        <x:v>宣诏罪状皇八弟胤禩，易名阿其那。阿其那释义待满文与上谕专条，本条只记本纪用字。</x:v>
      </x:c>
    </x:row>
    <x:row r="35" ht="68" customHeight="1">
      <x:c r="A35" s="100" t="str">
        <x:v>QH-SU-YZ-QSG-0009L</x:v>
      </x:c>
      <x:c r="B35" s="100" t="str">
        <x:v>SRC-025</x:v>
      </x:c>
      <x:c r="C35" s="100" t="str">
        <x:v>清史稿</x:v>
      </x:c>
      <x:c r="D35" s="100" t="str">
        <x:v>卷9</x:v>
      </x:c>
      <x:c r="E35" s="100" t="str">
        <x:v>雍正五年六月至十月</x:v>
      </x:c>
      <x:c r="F35" s="100" t="str">
        <x:v>1727</x:v>
      </x:c>
      <x:c r="G35" s="100" t="str">
        <x:v>本纪多日</x:v>
      </x:c>
      <x:c r="H35" s="100" t="str">
        <x:v>https://zh.wikisource.org/wiki/清史稿/卷9</x:v>
      </x:c>
      <x:c r="I35" s="100" t="str">
        <x:v>维基文库《清史稿》卷9世宗本纪。后出本纪，不作终审。</x:v>
      </x:c>
      <x:c r="J35" s="100" t="str">
        <x:v>C</x:v>
      </x:c>
      <x:c r="K35" s="100" t="str">
        <x:v>只保存必要短引文定位与链接不镜像整库</x:v>
      </x:c>
      <x:c r="L35" s="100" t="str">
        <x:v>2026-08-14</x:v>
      </x:c>
      <x:c r="M35" s="100" t="str">
        <x:v>六月隆科多以罪削爵；十月丁亥会审大罪五十，得旨著禁锢。款数与列传四十一款冲突。本纪此条未写畅春园外筑屋。</x:v>
      </x:c>
    </x:row>
    <x:row r="36" ht="68" customHeight="1">
      <x:c r="A36" s="100" t="str">
        <x:v>QH-SU-YZ-QSG-0009N</x:v>
      </x:c>
      <x:c r="B36" s="100" t="str">
        <x:v>SRC-025</x:v>
      </x:c>
      <x:c r="C36" s="100" t="str">
        <x:v>清史稿</x:v>
      </x:c>
      <x:c r="D36" s="100" t="str">
        <x:v>卷9</x:v>
      </x:c>
      <x:c r="E36" s="100" t="str">
        <x:v>雍正十年六月辛巳</x:v>
      </x:c>
      <x:c r="F36" s="100" t="str">
        <x:v>1732</x:v>
      </x:c>
      <x:c r="G36" s="100" t="str">
        <x:v>本纪条</x:v>
      </x:c>
      <x:c r="H36" s="100" t="str">
        <x:v>https://zh.wikisource.org/wiki/清史稿/卷9</x:v>
      </x:c>
      <x:c r="I36" s="100" t="str">
        <x:v>维基文库《清史稿》卷9世宗本纪。后出本纪，不作终审。</x:v>
      </x:c>
      <x:c r="J36" s="100" t="str">
        <x:v>C</x:v>
      </x:c>
      <x:c r="K36" s="100" t="str">
        <x:v>只保存必要短引文定位与链接不镜像整库</x:v>
      </x:c>
      <x:c r="L36" s="100" t="str">
        <x:v>2026-08-14</x:v>
      </x:c>
      <x:c r="M36" s="100" t="str">
        <x:v>办理军机大臣议奏恤赠条下，本纪云军机大臣之设始于此。通行七年/八年说未打开实录或会典，不得用本条否证或改写成七年。</x:v>
      </x:c>
    </x:row>
    <x:row r="37" ht="68" customHeight="1">
      <x:c r="A37" s="100" t="str">
        <x:v>QH-SU-YZ-QSG-0009M</x:v>
      </x:c>
      <x:c r="B37" s="100" t="str">
        <x:v>SRC-025</x:v>
      </x:c>
      <x:c r="C37" s="100" t="str">
        <x:v>清史稿</x:v>
      </x:c>
      <x:c r="D37" s="100" t="str">
        <x:v>卷9</x:v>
      </x:c>
      <x:c r="E37" s="100" t="str">
        <x:v>雍正十三年八月</x:v>
      </x:c>
      <x:c r="F37" s="100" t="str">
        <x:v>1735</x:v>
      </x:c>
      <x:c r="G37" s="100" t="str">
        <x:v>本纪条</x:v>
      </x:c>
      <x:c r="H37" s="100" t="str">
        <x:v>https://zh.wikisource.org/wiki/清史稿/卷9</x:v>
      </x:c>
      <x:c r="I37" s="100" t="str">
        <x:v>维基文库《清史稿》卷9世宗本纪。后出本纪，不作终审。</x:v>
      </x:c>
      <x:c r="J37" s="100" t="str">
        <x:v>C</x:v>
      </x:c>
      <x:c r="K37" s="100" t="str">
        <x:v>只保存必要短引文定位与链接不镜像整库</x:v>
      </x:c>
      <x:c r="L37" s="100" t="str">
        <x:v>2026-08-14</x:v>
      </x:c>
      <x:c r="M37" s="100" t="str">
        <x:v>丁亥不豫，戊子大渐宣旨传位宝亲王弘历，己丑崩年五十八。本条未写圆明园，也未写丹药。地点与死因另层登记。乾隆二年三月葬泰陵。</x:v>
      </x:c>
    </x:row>
    <x:row r="38" ht="68" customHeight="1">
      <x:c r="A38" s="100" t="str">
        <x:v>QH-SU-YZ-QSG-0295A</x:v>
      </x:c>
      <x:c r="B38" s="100" t="str">
        <x:v>SRC-025</x:v>
      </x:c>
      <x:c r="C38" s="100" t="str">
        <x:v>清史稿</x:v>
      </x:c>
      <x:c r="D38" s="100" t="str">
        <x:v>卷295</x:v>
      </x:c>
      <x:c r="E38" s="100" t="str">
        <x:v>隆科多传</x:v>
      </x:c>
      <x:c r="F38" s="100" t="str"/>
      <x:c r="G38" s="100" t="str">
        <x:v>列传</x:v>
      </x:c>
      <x:c r="H38" s="100" t="str">
        <x:v>https://zh.wikisource.org/wiki/清史稿/卷295</x:v>
      </x:c>
      <x:c r="I38" s="100" t="str">
        <x:v>维基文库《清史稿》卷295列传八十二。后出列传，可与本纪矛盾，不作终审。</x:v>
      </x:c>
      <x:c r="J38" s="100" t="str">
        <x:v>C</x:v>
      </x:c>
      <x:c r="K38" s="100" t="str">
        <x:v>只保存必要短引文定位与链接不镜像整库</x:v>
      </x:c>
      <x:c r="L38" s="100" t="str">
        <x:v>2026-08-14</x:v>
      </x:c>
      <x:c r="M38" s="100" t="str">
        <x:v>隆科多：孝懿仁皇后弟；圣祖大渐召受顾命；五年四十一款，承旨者惟隆科多一人，畅春园外禁锢；六年六月死于禁所。</x:v>
      </x:c>
    </x:row>
    <x:row r="39" ht="68" customHeight="1">
      <x:c r="A39" s="100" t="str">
        <x:v>QH-SU-YZ-QSG-0295B</x:v>
      </x:c>
      <x:c r="B39" s="100" t="str">
        <x:v>SRC-025</x:v>
      </x:c>
      <x:c r="C39" s="100" t="str">
        <x:v>清史稿</x:v>
      </x:c>
      <x:c r="D39" s="100" t="str">
        <x:v>卷295</x:v>
      </x:c>
      <x:c r="E39" s="100" t="str">
        <x:v>年羹尧传</x:v>
      </x:c>
      <x:c r="F39" s="100" t="str"/>
      <x:c r="G39" s="100" t="str">
        <x:v>列传</x:v>
      </x:c>
      <x:c r="H39" s="100" t="str">
        <x:v>https://zh.wikisource.org/wiki/清史稿/卷295</x:v>
      </x:c>
      <x:c r="I39" s="100" t="str">
        <x:v>维基文库《清史稿》卷295列传八十二。后出列传，可与本纪矛盾，不作终审。</x:v>
      </x:c>
      <x:c r="J39" s="100" t="str">
        <x:v>C</x:v>
      </x:c>
      <x:c r="K39" s="100" t="str">
        <x:v>只保存必要短引文定位与链接不镜像整库</x:v>
      </x:c>
      <x:c r="L39" s="100" t="str">
        <x:v>2026-08-14</x:v>
      </x:c>
      <x:c r="M39" s="100" t="str">
        <x:v>年羹尧：世宗即位命管理大将军印务；三年十二月狱辞九十二款，狱中令自裁。自裁与本纪赐死并存。</x:v>
      </x:c>
    </x:row>
    <x:row r="40" ht="68" customHeight="1">
      <x:c r="A40" s="100" t="str">
        <x:v>QH-SU-YZ-QSL-0001A</x:v>
      </x:c>
      <x:c r="B40" s="100" t="str">
        <x:v>SRC-027</x:v>
      </x:c>
      <x:c r="C40" s="100" t="str">
        <x:v>世宗宪皇帝实录</x:v>
      </x:c>
      <x:c r="D40" s="100" t="str">
        <x:v>卷1</x:v>
      </x:c>
      <x:c r="E40" s="100" t="str">
        <x:v>康熙六十一年十一月二十日</x:v>
      </x:c>
      <x:c r="F40" s="100" t="str">
        <x:v>1722</x:v>
      </x:c>
      <x:c r="G40" s="100" t="str">
        <x:v>1/5</x:v>
      </x:c>
      <x:c r="H40" s="100" t="str">
        <x:v>https://sillok.history.go.kr/mc/id/qsilok_006_0010_0010_0010_0090_0010</x:v>
      </x:c>
      <x:c r="I40" s="100" t="str">
        <x:v>世宗宪皇帝实录据中国第一历史档案馆藏原皇史宬大红绫本所据范围</x:v>
      </x:c>
      <x:c r="J40" s="100" t="str">
        <x:v>A2</x:v>
      </x:c>
      <x:c r="K40" s="100" t="str">
        <x:v>只保存必要短引文定位与链接不镜像整库</x:v>
      </x:c>
      <x:c r="L40" s="100" t="str">
        <x:v>2026-08-14</x:v>
      </x:c>
      <x:c r="M40" s="100" t="str">
        <x:v>即位礼辛丑条。素服诣梓宫前告受命于大行皇帝；御太和殿升座；中和乐设而不作；免宣庆贺表。</x:v>
      </x:c>
    </x:row>
    <x:row r="41" ht="68" customHeight="1">
      <x:c r="A41" s="100" t="str">
        <x:v>QH-SU-YZ-QSL-0001B</x:v>
      </x:c>
      <x:c r="B41" s="100" t="str">
        <x:v>SRC-027</x:v>
      </x:c>
      <x:c r="C41" s="100" t="str">
        <x:v>世宗宪皇帝实录</x:v>
      </x:c>
      <x:c r="D41" s="100" t="str">
        <x:v>卷1</x:v>
      </x:c>
      <x:c r="E41" s="100" t="str">
        <x:v>康熙六十一年十一月二十日</x:v>
      </x:c>
      <x:c r="F41" s="100" t="str">
        <x:v>1722</x:v>
      </x:c>
      <x:c r="G41" s="100" t="str">
        <x:v>2/5</x:v>
      </x:c>
      <x:c r="H41" s="100" t="str">
        <x:v>https://sillok.history.go.kr/mc/id/qsilok_006_0010_0010_0010_0090_0020</x:v>
      </x:c>
      <x:c r="I41" s="100" t="str">
        <x:v>世宗宪皇帝实录据中国第一历史档案馆藏原皇史宬大红绫本所据范围</x:v>
      </x:c>
      <x:c r="J41" s="100" t="str">
        <x:v>A2</x:v>
      </x:c>
      <x:c r="K41" s="100" t="str">
        <x:v>只保存必要短引文定位与链接不镜像整库</x:v>
      </x:c>
      <x:c r="L41" s="100" t="str">
        <x:v>2026-08-14</x:v>
      </x:c>
      <x:c r="M41" s="100" t="str">
        <x:v>即位诏：以明年为雍正元年；诏自述皇考升遐之日诏朕缵承大统；并述及皇二子两废。颁诏大赦条款未逐条拆入。</x:v>
      </x:c>
    </x:row>
    <x:row r="42" ht="68" customHeight="1">
      <x:c r="A42" s="100" t="str">
        <x:v>QH-SU-YZ-QSL-0159A</x:v>
      </x:c>
      <x:c r="B42" s="100" t="str">
        <x:v>SRC-027</x:v>
      </x:c>
      <x:c r="C42" s="100" t="str">
        <x:v>世宗宪皇帝实录</x:v>
      </x:c>
      <x:c r="D42" s="100" t="str">
        <x:v>卷159</x:v>
      </x:c>
      <x:c r="E42" s="100" t="str">
        <x:v>雍正十三年八月二十三日</x:v>
      </x:c>
      <x:c r="F42" s="100" t="str">
        <x:v>1735</x:v>
      </x:c>
      <x:c r="G42" s="100" t="str">
        <x:v>1/5</x:v>
      </x:c>
      <x:c r="H42" s="100" t="str">
        <x:v>https://sillok.history.go.kr/mc/id/qsilok_006_1590_0010_0010_0220_0010</x:v>
      </x:c>
      <x:c r="I42" s="100" t="str">
        <x:v>世宗宪皇帝实录据中国第一历史档案馆藏原皇史宬大红绫本所据范围</x:v>
      </x:c>
      <x:c r="J42" s="100" t="str">
        <x:v>A2</x:v>
      </x:c>
      <x:c r="K42" s="100" t="str">
        <x:v>只保存必要短引文定位与链接不镜像整库</x:v>
      </x:c>
      <x:c r="L42" s="100" t="str">
        <x:v>2026-08-14</x:v>
      </x:c>
      <x:c r="M42" s="100" t="str">
        <x:v>崩逝条：己丑子刻上崩。未写地点（不写圆明园），未写死因，未写疾大渐。</x:v>
      </x:c>
    </x:row>
    <x:row r="43" ht="68" customHeight="1">
      <x:c r="A43" s="100" t="str">
        <x:v>QH-SU-YZ-QSL-0039A</x:v>
      </x:c>
      <x:c r="B43" s="100" t="str">
        <x:v>SRC-027</x:v>
      </x:c>
      <x:c r="C43" s="100" t="str">
        <x:v>世宗宪皇帝实录</x:v>
      </x:c>
      <x:c r="D43" s="100" t="str">
        <x:v>卷39</x:v>
      </x:c>
      <x:c r="E43" s="100" t="str">
        <x:v>雍正三年十二月十一日</x:v>
      </x:c>
      <x:c r="F43" s="100" t="str">
        <x:v>1726</x:v>
      </x:c>
      <x:c r="G43" s="100" t="str">
        <x:v>1/3</x:v>
      </x:c>
      <x:c r="H43" s="100" t="str">
        <x:v>https://sillok.history.go.kr/mc/id/qsilok_006_0390_0010_0010_0100_0010</x:v>
      </x:c>
      <x:c r="I43" s="100" t="str">
        <x:v>世宗宪皇帝实录据中国第一历史档案馆藏原皇史宬大红绫本所据范围</x:v>
      </x:c>
      <x:c r="J43" s="100" t="str">
        <x:v>A2</x:v>
      </x:c>
      <x:c r="K43" s="100" t="str">
        <x:v>只保存必要短引文定位与链接不镜像整库</x:v>
      </x:c>
      <x:c r="L43" s="100" t="str">
        <x:v>2026-08-14</x:v>
      </x:c>
      <x:c r="M43" s="100" t="str">
        <x:v>年羹尧案：议政大臣列九十二款全目；得旨令其自裁；年富立斩、年遐龄年希尧革职免罪等处置同条，未逐条拆入。</x:v>
      </x:c>
    </x:row>
    <x:row r="44" ht="68" customHeight="1">
      <x:c r="A44" s="100" t="str">
        <x:v>QH-SU-QL-QSG-0015A</x:v>
      </x:c>
      <x:c r="B44" s="100" t="str">
        <x:v>SRC-025</x:v>
      </x:c>
      <x:c r="C44" s="100" t="str">
        <x:v>清史稿</x:v>
      </x:c>
      <x:c r="D44" s="100" t="str">
        <x:v>卷15</x:v>
      </x:c>
      <x:c r="E44" s="100" t="str">
        <x:v>乾隆六十年十二月</x:v>
      </x:c>
      <x:c r="F44" s="100" t="str"/>
      <x:c r="G44" s="100" t="str">
        <x:v>本纪条</x:v>
      </x:c>
      <x:c r="H44" s="100" t="str">
        <x:v>https://zh.wikisource.org/wiki/清史稿/卷15</x:v>
      </x:c>
      <x:c r="I44" s="100" t="str">
        <x:v>维基文库《清史稿》卷15高宗本纪六转录；后出本纪，不作终审。</x:v>
      </x:c>
      <x:c r="J44" s="100" t="str">
        <x:v>C</x:v>
      </x:c>
      <x:c r="K44" s="100" t="str">
        <x:v>只保存必要短引文定位与链接不镜像整库</x:v>
      </x:c>
      <x:c r="L44" s="100" t="str">
        <x:v>2026-08-17</x:v>
      </x:c>
      <x:c r="M44" s="100" t="str">
        <x:v>归政后奏事称太上皇、元旦传位的预告。</x:v>
      </x:c>
    </x:row>
    <x:row r="45" ht="68" customHeight="1">
      <x:c r="A45" s="100" t="str">
        <x:v>QH-SU-QL-QSG-0015B</x:v>
      </x:c>
      <x:c r="B45" s="100" t="str">
        <x:v>SRC-025</x:v>
      </x:c>
      <x:c r="C45" s="100" t="str">
        <x:v>清史稿</x:v>
      </x:c>
      <x:c r="D45" s="100" t="str">
        <x:v>卷15</x:v>
      </x:c>
      <x:c r="E45" s="100" t="str">
        <x:v>嘉庆元年正月戊申朔</x:v>
      </x:c>
      <x:c r="F45" s="100" t="str"/>
      <x:c r="G45" s="100" t="str">
        <x:v>本纪条</x:v>
      </x:c>
      <x:c r="H45" s="100" t="str">
        <x:v>https://zh.wikisource.org/wiki/清史稿/卷15</x:v>
      </x:c>
      <x:c r="I45" s="100" t="str">
        <x:v>维基文库《清史稿》卷15高宗本纪六转录；后出本纪，不作终审。</x:v>
      </x:c>
      <x:c r="J45" s="100" t="str">
        <x:v>C</x:v>
      </x:c>
      <x:c r="K45" s="100" t="str">
        <x:v>只保存必要短引文定位与链接不镜像整库</x:v>
      </x:c>
      <x:c r="L45" s="100" t="str">
        <x:v>2026-08-17</x:v>
      </x:c>
      <x:c r="M45" s="100" t="str">
        <x:v>授受大典、立皇太子为皇帝、太上皇继续裁决军国重务、宫中时宪书仍用乾隆年号。干支与卷16戊辰冲突。</x:v>
      </x:c>
    </x:row>
    <x:row r="46" ht="68" customHeight="1">
      <x:c r="A46" s="100" t="str">
        <x:v>QH-SU-QL-QSG-0015C</x:v>
      </x:c>
      <x:c r="B46" s="100" t="str">
        <x:v>SRC-025</x:v>
      </x:c>
      <x:c r="C46" s="100" t="str">
        <x:v>清史稿</x:v>
      </x:c>
      <x:c r="D46" s="100" t="str">
        <x:v>卷15</x:v>
      </x:c>
      <x:c r="E46" s="100" t="str">
        <x:v>嘉庆四年正月壬戌</x:v>
      </x:c>
      <x:c r="F46" s="100" t="str"/>
      <x:c r="G46" s="100" t="str">
        <x:v>本纪条</x:v>
      </x:c>
      <x:c r="H46" s="100" t="str">
        <x:v>https://zh.wikisource.org/wiki/清史稿/卷15</x:v>
      </x:c>
      <x:c r="I46" s="100" t="str">
        <x:v>维基文库《清史稿》卷15高宗本纪六转录；后出本纪，不作终审。</x:v>
      </x:c>
      <x:c r="J46" s="100" t="str">
        <x:v>C</x:v>
      </x:c>
      <x:c r="K46" s="100" t="str">
        <x:v>只保存必要短引文定位与链接不镜像整库</x:v>
      </x:c>
      <x:c r="L46" s="100" t="str">
        <x:v>2026-08-17</x:v>
      </x:c>
      <x:c r="M46" s="100" t="str">
        <x:v>高宗崩，寿八十有九。</x:v>
      </x:c>
    </x:row>
    <x:row r="47" ht="68" customHeight="1">
      <x:c r="A47" s="100" t="str">
        <x:v>QH-SU-JQ-QSG-0016A</x:v>
      </x:c>
      <x:c r="B47" s="100" t="str">
        <x:v>SRC-025</x:v>
      </x:c>
      <x:c r="C47" s="100" t="str">
        <x:v>清史稿</x:v>
      </x:c>
      <x:c r="D47" s="100" t="str">
        <x:v>卷16</x:v>
      </x:c>
      <x:c r="E47" s="100" t="str">
        <x:v>嘉庆元年正月戊辰朔</x:v>
      </x:c>
      <x:c r="F47" s="100" t="str"/>
      <x:c r="G47" s="100" t="str">
        <x:v>本纪条</x:v>
      </x:c>
      <x:c r="H47" s="100" t="str">
        <x:v>https://zh.wikisource.org/wiki/清史稿/卷16</x:v>
      </x:c>
      <x:c r="I47" s="100" t="str">
        <x:v>维基文库《清史稿》卷16仁宗本纪转录；后出本纪，不作终审。</x:v>
      </x:c>
      <x:c r="J47" s="100" t="str">
        <x:v>C</x:v>
      </x:c>
      <x:c r="K47" s="100" t="str">
        <x:v>只保存必要短引文定位与链接不镜像整库</x:v>
      </x:c>
      <x:c r="L47" s="100" t="str">
        <x:v>2026-08-17</x:v>
      </x:c>
      <x:c r="M47" s="100" t="str">
        <x:v>内禅、授玺、即位、尊太上皇与训政。干支与卷15戊申冲突。</x:v>
      </x:c>
    </x:row>
    <x:row r="48" ht="68" customHeight="1">
      <x:c r="A48" s="100" t="str">
        <x:v>QH-SU-JQ-QSG-0016B</x:v>
      </x:c>
      <x:c r="B48" s="100" t="str">
        <x:v>SRC-025</x:v>
      </x:c>
      <x:c r="C48" s="100" t="str">
        <x:v>清史稿</x:v>
      </x:c>
      <x:c r="D48" s="100" t="str">
        <x:v>卷16</x:v>
      </x:c>
      <x:c r="E48" s="100" t="str">
        <x:v>嘉庆四年正月壬戌至丁丑</x:v>
      </x:c>
      <x:c r="F48" s="100" t="str"/>
      <x:c r="G48" s="100" t="str">
        <x:v>本纪条</x:v>
      </x:c>
      <x:c r="H48" s="100" t="str">
        <x:v>https://zh.wikisource.org/wiki/清史稿/卷16</x:v>
      </x:c>
      <x:c r="I48" s="100" t="str">
        <x:v>维基文库《清史稿》卷16仁宗本纪转录；后出本纪，不作终审。</x:v>
      </x:c>
      <x:c r="J48" s="100" t="str">
        <x:v>C</x:v>
      </x:c>
      <x:c r="K48" s="100" t="str">
        <x:v>只保存必要短引文定位与链接不镜像整库</x:v>
      </x:c>
      <x:c r="L48" s="100" t="str">
        <x:v>2026-08-17</x:v>
      </x:c>
      <x:c r="M48" s="100" t="str">
        <x:v>壬戌太上皇崩与始亲政；丁卯和珅、福长安下狱；丁丑和珅赐死于狱。</x:v>
      </x:c>
    </x:row>
    <x:row r="49" ht="68" customHeight="1">
      <x:c r="A49" s="100" t="str">
        <x:v>QH-SU-JQ-QSG-0319A</x:v>
      </x:c>
      <x:c r="B49" s="100" t="str">
        <x:v>SRC-025</x:v>
      </x:c>
      <x:c r="C49" s="100" t="str">
        <x:v>清史稿</x:v>
      </x:c>
      <x:c r="D49" s="100" t="str">
        <x:v>卷319</x:v>
      </x:c>
      <x:c r="E49" s="100" t="str">
        <x:v>和珅传；嘉庆四年正月</x:v>
      </x:c>
      <x:c r="F49" s="100" t="str"/>
      <x:c r="G49" s="100" t="str">
        <x:v>列传</x:v>
      </x:c>
      <x:c r="H49" s="100" t="str">
        <x:v>https://zh.wikisource.org/wiki/清史稿/卷319</x:v>
      </x:c>
      <x:c r="I49" s="100" t="str">
        <x:v>维基文库《清史稿》卷319列传转录；页面标 Textquality 50%，引用须继续对影印本。</x:v>
      </x:c>
      <x:c r="J49" s="100" t="str">
        <x:v>C</x:v>
      </x:c>
      <x:c r="K49" s="100" t="str">
        <x:v>只保存必要短引文定位与链接不镜像整库</x:v>
      </x:c>
      <x:c r="L49" s="100" t="str">
        <x:v>2026-08-17</x:v>
      </x:c>
      <x:c r="M49" s="100" t="str">
        <x:v>和珅任官、王念孙弹劾、二十大罪上谕与赐自尽。上谕指控不自动等于逐款独立证实。</x:v>
      </x:c>
    </x:row>
  </x:sheetData>
  <x:mergeCells>
    <x:mergeCell ref="A1:M1"/>
    <x:mergeCell ref="A2:M2"/>
  </x:mergeCells>
  <x:pageMargins left="0.7" right="0.7" top="0.75" bottom="0.75" header="0.3" footer="0.3"/>
  <x:tableParts count="1">
    <x:tablePart xmlns:r="http://schemas.openxmlformats.org/officeDocument/2006/relationships" r:id="R32292f02b78445bc"/>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4" hidden="0" customWidth="1"/>
    <x:col min="2" max="2" width="8" hidden="0" customWidth="1"/>
    <x:col min="3" max="3" width="12" hidden="0" customWidth="1"/>
    <x:col min="4" max="4" width="34" hidden="0" customWidth="1"/>
    <x:col min="5" max="5" width="36" hidden="0" customWidth="1"/>
    <x:col min="6" max="6" width="10" hidden="0" customWidth="1"/>
    <x:col min="7" max="7" width="12" hidden="0" customWidth="1"/>
    <x:col min="8" max="8" width="14" hidden="0" customWidth="1"/>
    <x:col min="9" max="9" width="13" hidden="0" customWidth="1"/>
    <x:col min="10" max="10" width="13" hidden="0" customWidth="1"/>
    <x:col min="11" max="11" width="32" hidden="0" customWidth="1"/>
  </x:cols>
  <x:sheetData>
    <x:row r="1" ht="34" customHeight="1">
      <x:c r="A1" s="3" t="str">
        <x:v>零预算六批次计划</x:v>
      </x:c>
    </x:row>
    <x:row r="2" ht="24" customHeight="1">
      <x:c r="A2" s="6" t="str">
        <x:v>批次不与自然周绑定；质量门不过就先修复，状态、责任人与日期均可继续更新</x:v>
      </x:c>
    </x:row>
    <x:row r="4" ht="32" customHeight="1">
      <x:c r="A4" s="92" t="str">
        <x:v>任务 ID</x:v>
      </x:c>
      <x:c r="B4" s="93" t="str">
        <x:v>批次</x:v>
      </x:c>
      <x:c r="C4" s="93" t="str">
        <x:v>工作流</x:v>
      </x:c>
      <x:c r="D4" s="93" t="str">
        <x:v>任务</x:v>
      </x:c>
      <x:c r="E4" s="93" t="str">
        <x:v>完成定义</x:v>
      </x:c>
      <x:c r="F4" s="93" t="str">
        <x:v>优先级</x:v>
      </x:c>
      <x:c r="G4" s="93" t="str">
        <x:v>状态</x:v>
      </x:c>
      <x:c r="H4" s="93" t="str">
        <x:v>责任人</x:v>
      </x:c>
      <x:c r="I4" s="93" t="str">
        <x:v>开始日期</x:v>
      </x:c>
      <x:c r="J4" s="93" t="str">
        <x:v>截止日期</x:v>
      </x:c>
      <x:c r="K4" s="94" t="str">
        <x:v>备注</x:v>
      </x:c>
    </x:row>
    <x:row r="5" ht="34" customHeight="1">
      <x:c r="A5" s="99" t="str">
        <x:v>B1-01</x:v>
      </x:c>
      <x:c r="B5" s="101" t="n">
        <x:v>1</x:v>
      </x:c>
      <x:c r="C5" s="99" t="str">
        <x:v>十二帝</x:v>
      </x:c>
      <x:c r="D5" s="99" t="str">
        <x:v>建立十二帝统一骨架</x:v>
      </x:c>
      <x:c r="E5" s="99" t="str">
        <x:v>12 条、继承链连续、均有官方人物页</x:v>
      </x:c>
      <x:c r="F5" s="99" t="str">
        <x:v>P0</x:v>
      </x:c>
      <x:c r="G5" s="99" t="str">
        <x:v>已完成</x:v>
      </x:c>
      <x:c r="H5" s="103" t="str">
        <x:v>AI</x:v>
      </x:c>
      <x:c r="I5" s="105" t="str"/>
      <x:c r="J5" s="105" t="str"/>
      <x:c r="K5" s="99" t="str">
        <x:v>基础年份仍需逐帝细化到日期</x:v>
      </x:c>
    </x:row>
    <x:row r="6" ht="34" customHeight="1">
      <x:c r="A6" s="100" t="str">
        <x:v>B1-02</x:v>
      </x:c>
      <x:c r="B6" s="102" t="n">
        <x:v>1</x:v>
      </x:c>
      <x:c r="C6" s="100" t="str">
        <x:v>史料</x:v>
      </x:c>
      <x:c r="D6" s="100" t="str">
        <x:v>校正《清史稿》本纪卷次</x:v>
      </x:c>
      <x:c r="E6" s="100" t="str">
        <x:v>卷1—25与实际目录一致</x:v>
      </x:c>
      <x:c r="F6" s="100" t="str">
        <x:v>P0</x:v>
      </x:c>
      <x:c r="G6" s="100" t="str">
        <x:v>已完成</x:v>
      </x:c>
      <x:c r="H6" s="104" t="str">
        <x:v>AI</x:v>
      </x:c>
      <x:c r="I6" s="106" t="str"/>
      <x:c r="J6" s="106" t="str"/>
      <x:c r="K6" s="100" t="str">
        <x:v>已修正康熙、嘉庆至同治错位</x:v>
      </x:c>
    </x:row>
    <x:row r="7" ht="34" customHeight="1">
      <x:c r="A7" s="100" t="str">
        <x:v>B1-03</x:v>
      </x:c>
      <x:c r="B7" s="102" t="n">
        <x:v>1</x:v>
      </x:c>
      <x:c r="C7" s="100" t="str">
        <x:v>图像</x:v>
      </x:c>
      <x:c r="D7" s="100" t="str">
        <x:v>登记十二帝公版画像候选</x:v>
      </x:c>
      <x:c r="E7" s="100" t="str">
        <x:v>每帝一件且有逐文件许可页</x:v>
      </x:c>
      <x:c r="F7" s="100" t="str">
        <x:v>P0</x:v>
      </x:c>
      <x:c r="G7" s="100" t="str">
        <x:v>已完成</x:v>
      </x:c>
      <x:c r="H7" s="104" t="str">
        <x:v>AI</x:v>
      </x:c>
      <x:c r="I7" s="106" t="str"/>
      <x:c r="J7" s="106" t="str"/>
      <x:c r="K7" s="100" t="str">
        <x:v>原作馆藏号继续补核</x:v>
      </x:c>
    </x:row>
    <x:row r="8" ht="34" customHeight="1">
      <x:c r="A8" s="100" t="str">
        <x:v>B2-01</x:v>
      </x:c>
      <x:c r="B8" s="102" t="n">
        <x:v>2</x:v>
      </x:c>
      <x:c r="C8" s="100" t="str">
        <x:v>后妃</x:v>
      </x:c>
      <x:c r="D8" s="100" t="str">
        <x:v>建立十二帝皇后候选表</x:v>
      </x:c>
      <x:c r="E8" s="100" t="str">
        <x:v>区分在世册立、追尊、废黜和撤谥</x:v>
      </x:c>
      <x:c r="F8" s="100" t="str">
        <x:v>P0</x:v>
      </x:c>
      <x:c r="G8" s="100" t="str">
        <x:v>未开始</x:v>
      </x:c>
      <x:c r="H8" s="104" t="str">
        <x:v>AI</x:v>
      </x:c>
      <x:c r="I8" s="106" t="str"/>
      <x:c r="J8" s="106" t="str"/>
      <x:c r="K8" s="100" t="str">
        <x:v>先从《清史稿》卷214建候选</x:v>
      </x:c>
    </x:row>
    <x:row r="9" ht="34" customHeight="1">
      <x:c r="A9" s="100" t="str">
        <x:v>B2-02</x:v>
      </x:c>
      <x:c r="B9" s="102" t="n">
        <x:v>2</x:v>
      </x:c>
      <x:c r="C9" s="100" t="str">
        <x:v>皇子女</x:v>
      </x:c>
      <x:c r="D9" s="100" t="str">
        <x:v>建立皇子、公主候选表</x:v>
      </x:c>
      <x:c r="E9" s="100" t="str">
        <x:v>齿序口径、母系和封号时态分开</x:v>
      </x:c>
      <x:c r="F9" s="100" t="str">
        <x:v>P0</x:v>
      </x:c>
      <x:c r="G9" s="100" t="str">
        <x:v>未开始</x:v>
      </x:c>
      <x:c r="H9" s="104" t="str">
        <x:v>AI</x:v>
      </x:c>
      <x:c r="I9" s="106" t="str"/>
      <x:c r="J9" s="106" t="str"/>
      <x:c r="K9" s="100" t="str">
        <x:v>从卷161—166开始但不可终审</x:v>
      </x:c>
    </x:row>
    <x:row r="10" ht="34" customHeight="1">
      <x:c r="A10" s="100" t="str">
        <x:v>B2-03</x:v>
      </x:c>
      <x:c r="B10" s="102" t="n">
        <x:v>2</x:v>
      </x:c>
      <x:c r="C10" s="100" t="str">
        <x:v>玉牒</x:v>
      </x:c>
      <x:c r="D10" s="100" t="str">
        <x:v>建立公开玉牒版本与目录</x:v>
      </x:c>
      <x:c r="E10" s="100" t="str">
        <x:v>看不到原件的关系一律标玉牒待核</x:v>
      </x:c>
      <x:c r="F10" s="100" t="str">
        <x:v>P0</x:v>
      </x:c>
      <x:c r="G10" s="100" t="str">
        <x:v>未开始</x:v>
      </x:c>
      <x:c r="H10" s="104" t="str">
        <x:v>AI</x:v>
      </x:c>
      <x:c r="I10" s="106" t="str"/>
      <x:c r="J10" s="106" t="str"/>
      <x:c r="K10" s="100" t="str">
        <x:v>只做版本级目录不编造全谱</x:v>
      </x:c>
    </x:row>
    <x:row r="11" ht="34" customHeight="1">
      <x:c r="A11" s="100" t="str">
        <x:v>B3-01</x:v>
      </x:c>
      <x:c r="B11" s="102" t="n">
        <x:v>3</x:v>
      </x:c>
      <x:c r="C11" s="100" t="str">
        <x:v>康熙</x:v>
      </x:c>
      <x:c r="D11" s="100" t="str">
        <x:v>完成康熙来源包</x:v>
      </x:c>
      <x:c r="E11" s="100" t="str">
        <x:v>史料入口、版本、访问和权利字段齐全</x:v>
      </x:c>
      <x:c r="F11" s="100" t="str">
        <x:v>P0</x:v>
      </x:c>
      <x:c r="G11" s="100" t="str">
        <x:v>未开始</x:v>
      </x:c>
      <x:c r="H11" s="104" t="str">
        <x:v>AI</x:v>
      </x:c>
      <x:c r="I11" s="106" t="str"/>
      <x:c r="J11" s="106" t="str"/>
      <x:c r="K11" s="100" t="str">
        <x:v>先查实录卷1及卷300</x:v>
      </x:c>
    </x:row>
    <x:row r="12" ht="34" customHeight="1">
      <x:c r="A12" s="100" t="str">
        <x:v>B3-02</x:v>
      </x:c>
      <x:c r="B12" s="102" t="n">
        <x:v>3</x:v>
      </x:c>
      <x:c r="C12" s="100" t="str">
        <x:v>人物</x:v>
      </x:c>
      <x:c r="D12" s="100" t="str">
        <x:v>回查人物候选档</x:v>
      </x:c>
      <x:c r="E12" s="100" t="str">
        <x:v>异名、身份、首要证据和待核项齐全</x:v>
      </x:c>
      <x:c r="F12" s="100" t="str">
        <x:v>P0</x:v>
      </x:c>
      <x:c r="G12" s="100" t="str">
        <x:v>未开始</x:v>
      </x:c>
      <x:c r="H12" s="104" t="str">
        <x:v>AI</x:v>
      </x:c>
      <x:c r="I12" s="106" t="str"/>
      <x:c r="J12" s="106" t="str"/>
      <x:c r="K12" s="100" t="str">
        <x:v>一轮处理20—30条主张</x:v>
      </x:c>
    </x:row>
    <x:row r="13" ht="34" customHeight="1">
      <x:c r="A13" s="100" t="str">
        <x:v>B3-03</x:v>
      </x:c>
      <x:c r="B13" s="102" t="n">
        <x:v>3</x:v>
      </x:c>
      <x:c r="C13" s="100" t="str">
        <x:v>关系</x:v>
      </x:c>
      <x:c r="D13" s="100" t="str">
        <x:v>完成60条关系候选</x:v>
      </x:c>
      <x:c r="E13" s="100" t="str">
        <x:v>每条有关系类型、时间和证据状态</x:v>
      </x:c>
      <x:c r="F13" s="100" t="str">
        <x:v>P0</x:v>
      </x:c>
      <x:c r="G13" s="100" t="str">
        <x:v>未开始</x:v>
      </x:c>
      <x:c r="H13" s="104" t="str">
        <x:v>AI</x:v>
      </x:c>
      <x:c r="I13" s="106" t="str"/>
      <x:c r="J13" s="106" t="str"/>
      <x:c r="K13" s="100" t="str">
        <x:v>生母、嫡母、抚育者不可混写</x:v>
      </x:c>
    </x:row>
    <x:row r="14" ht="34" customHeight="1">
      <x:c r="A14" s="100" t="str">
        <x:v>B3-04</x:v>
      </x:c>
      <x:c r="B14" s="102" t="n">
        <x:v>3</x:v>
      </x:c>
      <x:c r="C14" s="100" t="str">
        <x:v>储位</x:v>
      </x:c>
      <x:c r="D14" s="100" t="str">
        <x:v>建立两废太子与继承事件链</x:v>
      </x:c>
      <x:c r="E14" s="100" t="str">
        <x:v>具体事件替代“九子夺嫡”笼统标签</x:v>
      </x:c>
      <x:c r="F14" s="100" t="str">
        <x:v>P0</x:v>
      </x:c>
      <x:c r="G14" s="100" t="str">
        <x:v>未开始</x:v>
      </x:c>
      <x:c r="H14" s="104" t="str">
        <x:v>AI</x:v>
      </x:c>
      <x:c r="I14" s="106" t="str"/>
      <x:c r="J14" s="106" t="str"/>
      <x:c r="K14" s="100" t="str">
        <x:v>冲突说法并列保存</x:v>
      </x:c>
    </x:row>
    <x:row r="15" ht="34" customHeight="1">
      <x:c r="A15" s="100" t="str">
        <x:v>B4-01</x:v>
      </x:c>
      <x:c r="B15" s="102" t="n">
        <x:v>4</x:v>
      </x:c>
      <x:c r="C15" s="100" t="str">
        <x:v>图像</x:v>
      </x:c>
      <x:c r="D15" s="100" t="str">
        <x:v>补核十二帝画像馆藏与版本</x:v>
      </x:c>
      <x:c r="E15" s="100" t="str">
        <x:v>对象、数字文件、认定、许可四层分开</x:v>
      </x:c>
      <x:c r="F15" s="100" t="str">
        <x:v>P0</x:v>
      </x:c>
      <x:c r="G15" s="100" t="str">
        <x:v>未开始</x:v>
      </x:c>
      <x:c r="H15" s="104" t="str">
        <x:v>AI</x:v>
      </x:c>
      <x:c r="I15" s="106" t="str"/>
      <x:c r="J15" s="106" t="str"/>
      <x:c r="K15" s="100" t="str">
        <x:v>Commons许可不等于认定无误</x:v>
      </x:c>
    </x:row>
    <x:row r="16" ht="34" customHeight="1">
      <x:c r="A16" s="100" t="str">
        <x:v>B4-02</x:v>
      </x:c>
      <x:c r="B16" s="102" t="n">
        <x:v>4</x:v>
      </x:c>
      <x:c r="C16" s="100" t="str">
        <x:v>页面</x:v>
      </x:c>
      <x:c r="D16" s="100" t="str">
        <x:v>生成十二帝本地导航页</x:v>
      </x:c>
      <x:c r="E16" s="100" t="str">
        <x:v>画像、史料入口和状态可浏览</x:v>
      </x:c>
      <x:c r="F16" s="100" t="str">
        <x:v>P1</x:v>
      </x:c>
      <x:c r="G16" s="100" t="str">
        <x:v>未开始</x:v>
      </x:c>
      <x:c r="H16" s="104" t="str">
        <x:v>AI</x:v>
      </x:c>
      <x:c r="I16" s="106" t="str"/>
      <x:c r="J16" s="106" t="str"/>
      <x:c r="K16" s="100" t="str">
        <x:v>骨架页明确标个人研究稿</x:v>
      </x:c>
    </x:row>
    <x:row r="17" ht="34" customHeight="1">
      <x:c r="A17" s="100" t="str">
        <x:v>B5-01</x:v>
      </x:c>
      <x:c r="B17" s="102" t="n">
        <x:v>5</x:v>
      </x:c>
      <x:c r="C17" s="100" t="str">
        <x:v>事件</x:v>
      </x:c>
      <x:c r="D17" s="100" t="str">
        <x:v>扩展政治、战争、制度和地点</x:v>
      </x:c>
      <x:c r="E17" s="100" t="str">
        <x:v>人物—事件—地点均有来源绑定</x:v>
      </x:c>
      <x:c r="F17" s="100" t="str">
        <x:v>P1</x:v>
      </x:c>
      <x:c r="G17" s="100" t="str">
        <x:v>未开始</x:v>
      </x:c>
      <x:c r="H17" s="104" t="str">
        <x:v>AI</x:v>
      </x:c>
      <x:c r="I17" s="106" t="str"/>
      <x:c r="J17" s="106" t="str"/>
      <x:c r="K17" s="100" t="str">
        <x:v>从康熙统治专题分册开始</x:v>
      </x:c>
    </x:row>
    <x:row r="18" ht="34" customHeight="1">
      <x:c r="A18" s="100" t="str">
        <x:v>B5-02</x:v>
      </x:c>
      <x:c r="B18" s="102" t="n">
        <x:v>5</x:v>
      </x:c>
      <x:c r="C18" s="100" t="str">
        <x:v>反证</x:v>
      </x:c>
      <x:c r="D18" s="100" t="str">
        <x:v>反查30条高风险主张</x:v>
      </x:c>
      <x:c r="E18" s="100" t="str">
        <x:v>支持与反驳材料及来源家族明确</x:v>
      </x:c>
      <x:c r="F18" s="100" t="str">
        <x:v>P0</x:v>
      </x:c>
      <x:c r="G18" s="100" t="str">
        <x:v>未开始</x:v>
      </x:c>
      <x:c r="H18" s="104" t="str">
        <x:v>反证Agent</x:v>
      </x:c>
      <x:c r="I18" s="106" t="str"/>
      <x:c r="J18" s="106" t="str"/>
      <x:c r="K18" s="100" t="str">
        <x:v>第二Agent不等于专家审核</x:v>
      </x:c>
    </x:row>
    <x:row r="19" ht="34" customHeight="1">
      <x:c r="A19" s="100" t="str">
        <x:v>B5-03</x:v>
      </x:c>
      <x:c r="B19" s="102" t="n">
        <x:v>5</x:v>
      </x:c>
      <x:c r="C19" s="100" t="str">
        <x:v>一致性</x:v>
      </x:c>
      <x:c r="D19" s="100" t="str">
        <x:v>运行ID、外键、日期和许可检查</x:v>
      </x:c>
      <x:c r="E19" s="100" t="str">
        <x:v>严重结构错误为0</x:v>
      </x:c>
      <x:c r="F19" s="100" t="str">
        <x:v>P0</x:v>
      </x:c>
      <x:c r="G19" s="100" t="str">
        <x:v>未开始</x:v>
      </x:c>
      <x:c r="H19" s="104" t="str">
        <x:v>AI</x:v>
      </x:c>
      <x:c r="I19" s="106" t="str"/>
      <x:c r="J19" s="106" t="str"/>
      <x:c r="K19" s="100" t="str">
        <x:v>发现一条严重错误则重开整批</x:v>
      </x:c>
    </x:row>
    <x:row r="20" ht="34" customHeight="1">
      <x:c r="A20" s="100" t="str">
        <x:v>B6-01</x:v>
      </x:c>
      <x:c r="B20" s="102" t="n">
        <x:v>6</x:v>
      </x:c>
      <x:c r="C20" s="100" t="str">
        <x:v>索引</x:v>
      </x:c>
      <x:c r="D20" s="100" t="str">
        <x:v>拆分《清史稿》帝后皇子公主条目</x:v>
      </x:c>
      <x:c r="E20" s="100" t="str">
        <x:v>人物级章节索引可检索</x:v>
      </x:c>
      <x:c r="F20" s="100" t="str">
        <x:v>P0</x:v>
      </x:c>
      <x:c r="G20" s="100" t="str">
        <x:v>进行中</x:v>
      </x:c>
      <x:c r="H20" s="104" t="str">
        <x:v>AI</x:v>
      </x:c>
      <x:c r="I20" s="106" t="str"/>
      <x:c r="J20" s="106" t="str"/>
      <x:c r="K20" s="100" t="str">
        <x:v>已定位卷164—166及214</x:v>
      </x:c>
    </x:row>
    <x:row r="21" ht="34" customHeight="1">
      <x:c r="A21" s="100" t="str">
        <x:v>B6-02</x:v>
      </x:c>
      <x:c r="B21" s="102" t="n">
        <x:v>6</x:v>
      </x:c>
      <x:c r="C21" s="100" t="str">
        <x:v>抽查</x:v>
      </x:c>
      <x:c r="D21" s="100" t="str">
        <x:v>执行用户H1随机抽查</x:v>
      </x:c>
      <x:c r="E21" s="100" t="str">
        <x:v>抽查30主张、15关系、全部嵌入图像</x:v>
      </x:c>
      <x:c r="F21" s="100" t="str">
        <x:v>P0</x:v>
      </x:c>
      <x:c r="G21" s="100" t="str">
        <x:v>未开始</x:v>
      </x:c>
      <x:c r="H21" s="104" t="str">
        <x:v>用户</x:v>
      </x:c>
      <x:c r="I21" s="106" t="str"/>
      <x:c r="J21" s="106" t="str"/>
      <x:c r="K21" s="100" t="str">
        <x:v>不抽查则一直标AI研究草稿</x:v>
      </x:c>
    </x:row>
    <x:row r="22" ht="34" customHeight="1">
      <x:c r="A22" s="100" t="str">
        <x:v>B6-03</x:v>
      </x:c>
      <x:c r="B22" s="102" t="n">
        <x:v>6</x:v>
      </x:c>
      <x:c r="C22" s="100" t="str">
        <x:v>续作</x:v>
      </x:c>
      <x:c r="D22" s="100" t="str">
        <x:v>生成雍正卷下一任务队列</x:v>
      </x:c>
      <x:c r="E22" s="100" t="str">
        <x:v>AI可从磁盘状态无损继续</x:v>
      </x:c>
      <x:c r="F22" s="100" t="str">
        <x:v>P1</x:v>
      </x:c>
      <x:c r="G22" s="100" t="str">
        <x:v>未开始</x:v>
      </x:c>
      <x:c r="H22" s="104" t="str">
        <x:v>AI</x:v>
      </x:c>
      <x:c r="I22" s="106" t="str"/>
      <x:c r="J22" s="106" t="str"/>
      <x:c r="K22" s="100" t="str">
        <x:v>不依赖聊天上下文记忆</x:v>
      </x:c>
    </x:row>
  </x:sheetData>
  <x:mergeCells>
    <x:mergeCell ref="A1:K1"/>
    <x:mergeCell ref="A2:K2"/>
  </x:mergeCells>
  <x:conditionalFormatting sqref="F5:F22">
    <x:cfRule type="containsText" dxfId="26" priority="1" operator="containsText" text="P0"/>
    <x:cfRule type="containsText" dxfId="27" priority="2" operator="containsText" text="P1"/>
    <x:cfRule type="containsText" dxfId="28" priority="3" operator="containsText" text="P2"/>
  </x:conditionalFormatting>
  <x:conditionalFormatting sqref="G5:G22">
    <x:cfRule type="containsText" dxfId="29" priority="4" operator="containsText" text="已完成"/>
    <x:cfRule type="containsText" dxfId="30" priority="5" operator="containsText" text="已通过"/>
    <x:cfRule type="containsText" dxfId="31" priority="6" operator="containsText" text="进行中"/>
    <x:cfRule type="containsText" dxfId="32" priority="7" operator="containsText" text="待审核"/>
    <x:cfRule type="containsText" dxfId="33" priority="8" operator="containsText" text="阻塞"/>
  </x:conditionalFormatting>
  <x:dataValidations count="2">
    <x:dataValidation type="list" sqref="F5:F22">
      <x:formula1>"P0,P1,P2,P3"</x:formula1>
    </x:dataValidation>
    <x:dataValidation type="list" sqref="G5:G22">
      <x:formula1>"未开始,进行中,阻塞,待审核,已完成"</x:formula1>
    </x:dataValidation>
  </x:dataValidations>
  <x:pageMargins left="0.7" right="0.7" top="0.75" bottom="0.75" header="0.3" footer="0.3"/>
  <x:tableParts count="1">
    <x:tablePart xmlns:r="http://schemas.openxmlformats.org/officeDocument/2006/relationships" r:id="Rfc63db32f4d4442a"/>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6" hidden="0" customWidth="1"/>
    <x:col min="2" max="2" width="7" hidden="0" customWidth="1"/>
    <x:col min="3" max="3" width="18" hidden="0" customWidth="1"/>
    <x:col min="4" max="4" width="26" hidden="0" customWidth="1"/>
    <x:col min="5" max="5" width="30" hidden="0" customWidth="1"/>
    <x:col min="6" max="6" width="20" hidden="0" customWidth="1"/>
    <x:col min="7" max="7" width="10" hidden="0" customWidth="1"/>
    <x:col min="8" max="8" width="38" hidden="0" customWidth="1"/>
    <x:col min="9" max="9" width="55" hidden="0" customWidth="1"/>
    <x:col min="10" max="10" width="52" hidden="0" customWidth="1"/>
    <x:col min="11" max="11" width="12" hidden="0" customWidth="1"/>
    <x:col min="12" max="12" width="14" hidden="0" customWidth="1"/>
    <x:col min="13" max="13" width="30" hidden="0" customWidth="1"/>
  </x:cols>
  <x:sheetData>
    <x:row r="1" ht="34" customHeight="1">
      <x:c r="A1" s="3" t="str">
        <x:v>人物档案</x:v>
      </x:c>
    </x:row>
    <x:row r="2" ht="24" customHeight="1">
      <x:c r="A2" s="6" t="str">
        <x:v>当前收录 116 人；条目数量不是核验数量，每人仍需逐条来源回查</x:v>
      </x:c>
    </x:row>
    <x:row r="4" ht="32" customHeight="1">
      <x:c r="A4" s="92" t="str">
        <x:v>person_id</x:v>
      </x:c>
      <x:c r="B4" s="93" t="str">
        <x:v>序号</x:v>
      </x:c>
      <x:c r="C4" s="93" t="str">
        <x:v>分组</x:v>
      </x:c>
      <x:c r="D4" s="93" t="str">
        <x:v>规范名</x:v>
      </x:c>
      <x:c r="E4" s="93" t="str">
        <x:v>常用名或异名</x:v>
      </x:c>
      <x:c r="F4" s="93" t="str">
        <x:v>人物类型</x:v>
      </x:c>
      <x:c r="G4" s="93" t="str">
        <x:v>优先级</x:v>
      </x:c>
      <x:c r="H4" s="93" t="str">
        <x:v>选择理由</x:v>
      </x:c>
      <x:c r="I4" s="93" t="str">
        <x:v>核心待核主张</x:v>
      </x:c>
      <x:c r="J4" s="93" t="str">
        <x:v>首要史料入口</x:v>
      </x:c>
      <x:c r="K4" s="93" t="str">
        <x:v>工作状态</x:v>
      </x:c>
      <x:c r="L4" s="93" t="str">
        <x:v>责任人</x:v>
      </x:c>
      <x:c r="M4" s="94" t="str">
        <x:v>审核备注</x:v>
      </x:c>
    </x:row>
    <x:row r="5" ht="48" customHeight="1">
      <x:c r="A5" s="99" t="str">
        <x:v>QH-P-000001</x:v>
      </x:c>
      <x:c r="B5" s="99" t="str">
        <x:v>1</x:v>
      </x:c>
      <x:c r="C5" s="99" t="str">
        <x:v>皇帝皇子皇孙公主</x:v>
      </x:c>
      <x:c r="D5" s="99" t="str">
        <x:v>爱新觉罗·玄烨</x:v>
      </x:c>
      <x:c r="E5" s="99" t="str">
        <x:v>康熙帝；圣祖</x:v>
      </x:c>
      <x:c r="F5" s="99" t="str">
        <x:v>皇帝</x:v>
      </x:c>
      <x:c r="G5" s="99" t="str">
        <x:v>P0</x:v>
      </x:c>
      <x:c r="H5" s="99" t="str">
        <x:v>所有亲属和继承关系的中心节点</x:v>
      </x:c>
      <x:c r="I5" s="99" t="str">
        <x:v>崩逝时间地点在场人员及遗诏形成和宣读程序；晚年对诸子的实际处分</x:v>
      </x:c>
      <x:c r="J5" s="99" t="str">
        <x:v>《清圣祖实录》卷末；《康熙起居注》；康熙遗诏满汉文本；上谕档</x:v>
      </x:c>
      <x:c r="K5" s="99" t="str">
        <x:v>待取证</x:v>
      </x:c>
      <x:c r="L5" s="103" t="str"/>
      <x:c r="M5" s="103" t="str"/>
    </x:row>
    <x:row r="6" ht="48" customHeight="1">
      <x:c r="A6" s="100" t="str">
        <x:v>QH-P-000002</x:v>
      </x:c>
      <x:c r="B6" s="100" t="str">
        <x:v>2</x:v>
      </x:c>
      <x:c r="C6" s="100" t="str">
        <x:v>皇帝皇子皇孙公主</x:v>
      </x:c>
      <x:c r="D6" s="100" t="str">
        <x:v>爱新觉罗·胤禛</x:v>
      </x:c>
      <x:c r="E6" s="100" t="str">
        <x:v>雍正帝；世宗；皇四子</x:v>
      </x:c>
      <x:c r="F6" s="100" t="str">
        <x:v>皇帝</x:v>
      </x:c>
      <x:c r="G6" s="100" t="str">
        <x:v>P0</x:v>
      </x:c>
      <x:c r="H6" s="100" t="str">
        <x:v>继承结果及早期政治重组中心</x:v>
      </x:c>
      <x:c r="I6" s="100" t="str">
        <x:v>名讳沿革；生母抚养者和嫡母关系；即位程序；即位后兄弟处分逐项时间线</x:v>
      </x:c>
      <x:c r="J6" s="100" t="str">
        <x:v>《清世宗实录》卷首；《雍正朝起居注册》；《雍正朱批谕旨》；历年《玉牒》</x:v>
      </x:c>
      <x:c r="K6" s="100" t="str">
        <x:v>待取证</x:v>
      </x:c>
      <x:c r="L6" s="104" t="str"/>
      <x:c r="M6" s="104" t="str"/>
    </x:row>
    <x:row r="7" ht="48" customHeight="1">
      <x:c r="A7" s="100" t="str">
        <x:v>QH-P-000003</x:v>
      </x:c>
      <x:c r="B7" s="100" t="str">
        <x:v>3</x:v>
      </x:c>
      <x:c r="C7" s="100" t="str">
        <x:v>皇帝皇子皇孙公主</x:v>
      </x:c>
      <x:c r="D7" s="100" t="str">
        <x:v>爱新觉罗·胤禔</x:v>
      </x:c>
      <x:c r="E7" s="100" t="str">
        <x:v>允禔；皇长子；直郡王</x:v>
      </x:c>
      <x:c r="F7" s="100" t="str">
        <x:v>皇子</x:v>
      </x:c>
      <x:c r="G7" s="100" t="str">
        <x:v>P0</x:v>
      </x:c>
      <x:c r="H7" s="100" t="str">
        <x:v>第一轮废储中的核心行动者</x:v>
      </x:c>
      <x:c r="I7" s="100" t="str">
        <x:v>《清史稿》卷164作圣祖第一子；后妃传荣妃子承瑞为圣祖长子、四岁殇。表序与自然序冲突，不得混成一个排行。镇魇胤礽案与拘禁起止仍待实录、宗人府档。</x:v>
      </x:c>
      <x:c r="J7" s="100" t="str">
        <x:v>《玉牒》；《清圣祖实录》康熙四十七年前后；宗人府处分档</x:v>
      </x:c>
      <x:c r="K7" s="100" t="str">
        <x:v>待取证</x:v>
      </x:c>
      <x:c r="L7" s="104" t="str"/>
      <x:c r="M7" s="104" t="str"/>
    </x:row>
    <x:row r="8" ht="48" customHeight="1">
      <x:c r="A8" s="100" t="str">
        <x:v>QH-P-000004</x:v>
      </x:c>
      <x:c r="B8" s="100" t="str">
        <x:v>4</x:v>
      </x:c>
      <x:c r="C8" s="100" t="str">
        <x:v>皇帝皇子皇孙公主</x:v>
      </x:c>
      <x:c r="D8" s="100" t="str">
        <x:v>爱新觉罗·胤礽</x:v>
      </x:c>
      <x:c r="E8" s="100" t="str">
        <x:v>允礽；保成；皇太子；理密亲王</x:v>
      </x:c>
      <x:c r="F8" s="100" t="str">
        <x:v>皇子及储君</x:v>
      </x:c>
      <x:c r="G8" s="100" t="str">
        <x:v>P0</x:v>
      </x:c>
      <x:c r="H8" s="100" t="str">
        <x:v>整个专题的另一中心</x:v>
      </x:c>
      <x:c r="I8" s="100" t="str">
        <x:v>第六子而序为第二子口径；立储乙丑/丙寅冲突；初废四十六/四十七年冲突；再废九月/十月冲突；罪状与狂易是上谕用词不是诊断；郑家庄安排</x:v>
      </x:c>
      <x:c r="J8" s="100" t="str">
        <x:v>历年《玉牒》；《清圣祖实录》康熙十四四十七四十八五十一年；皇太子相关宫中档</x:v>
      </x:c>
      <x:c r="K8" s="100" t="str">
        <x:v>待取证</x:v>
      </x:c>
      <x:c r="L8" s="104" t="str"/>
      <x:c r="M8" s="104" t="str"/>
    </x:row>
    <x:row r="9" ht="48" customHeight="1">
      <x:c r="A9" s="100" t="str">
        <x:v>QH-P-000005</x:v>
      </x:c>
      <x:c r="B9" s="100" t="str">
        <x:v>5</x:v>
      </x:c>
      <x:c r="C9" s="100" t="str">
        <x:v>皇帝皇子皇孙公主</x:v>
      </x:c>
      <x:c r="D9" s="100" t="str">
        <x:v>爱新觉罗·胤祉</x:v>
      </x:c>
      <x:c r="E9" s="100" t="str">
        <x:v>允祉；诚亲王；诚隐郡王</x:v>
      </x:c>
      <x:c r="F9" s="100" t="str">
        <x:v>皇子</x:v>
      </x:c>
      <x:c r="G9" s="100" t="str">
        <x:v>P1</x:v>
      </x:c>
      <x:c r="H9" s="100" t="str">
        <x:v>废储案参与者并兼有文化编纂与政治角色</x:v>
      </x:c>
      <x:c r="I9" s="100" t="str">
        <x:v>在胤禔案废储和康熙崩后事件中的具体行为；削爵拘禁原因及时间</x:v>
      </x:c>
      <x:c r="J9" s="100" t="str">
        <x:v>《玉牒》；《清圣祖实录》康熙四十七六十一年；《清世宗实录》；宗人府档</x:v>
      </x:c>
      <x:c r="K9" s="100" t="str">
        <x:v>待取证</x:v>
      </x:c>
      <x:c r="L9" s="104" t="str"/>
      <x:c r="M9" s="104" t="str"/>
    </x:row>
    <x:row r="10" ht="48" customHeight="1">
      <x:c r="A10" s="100" t="str">
        <x:v>QH-P-000006</x:v>
      </x:c>
      <x:c r="B10" s="100" t="str">
        <x:v>6</x:v>
      </x:c>
      <x:c r="C10" s="100" t="str">
        <x:v>皇帝皇子皇孙公主</x:v>
      </x:c>
      <x:c r="D10" s="100" t="str">
        <x:v>爱新觉罗·胤祺</x:v>
      </x:c>
      <x:c r="E10" s="100" t="str">
        <x:v>允祺；恒亲王；皇五子</x:v>
      </x:c>
      <x:c r="F10" s="100" t="str">
        <x:v>皇子及对照样本</x:v>
      </x:c>
      <x:c r="G10" s="100" t="str">
        <x:v>P2</x:v>
      </x:c>
      <x:c r="H10" s="100" t="str">
        <x:v>与胤禟同母却政治轨迹不同可防止母族决定论</x:v>
      </x:c>
      <x:c r="I10" s="100" t="str">
        <x:v>是否及何时由孝惠章皇后抚育；未进入核心争储叙事的证据边界</x:v>
      </x:c>
      <x:c r="J10" s="100" t="str">
        <x:v>《玉牒》；《清圣祖实录》封爵差务条；孝惠章皇后相关宫中档</x:v>
      </x:c>
      <x:c r="K10" s="100" t="str">
        <x:v>待取证</x:v>
      </x:c>
      <x:c r="L10" s="104" t="str"/>
      <x:c r="M10" s="104" t="str"/>
    </x:row>
    <x:row r="11" ht="48" customHeight="1">
      <x:c r="A11" s="100" t="str">
        <x:v>QH-P-000007</x:v>
      </x:c>
      <x:c r="B11" s="100" t="str">
        <x:v>7</x:v>
      </x:c>
      <x:c r="C11" s="100" t="str">
        <x:v>皇帝皇子皇孙公主</x:v>
      </x:c>
      <x:c r="D11" s="100" t="str">
        <x:v>爱新觉罗·胤禩</x:v>
      </x:c>
      <x:c r="E11" s="100" t="str">
        <x:v>允禩；廉亲王；阿其那</x:v>
      </x:c>
      <x:c r="F11" s="100" t="str">
        <x:v>皇子</x:v>
      </x:c>
      <x:c r="G11" s="100" t="str">
        <x:v>P0</x:v>
      </x:c>
      <x:c r="H11" s="100" t="str">
        <x:v>康熙四十七年后最重要候选和处分对象之一</x:v>
      </x:c>
      <x:c r="I11" s="100" t="str">
        <x:v>生母与抚养关系；百官推举真实程序；阿其那的下令用法与释义争议；除籍和死亡</x:v>
      </x:c>
      <x:c r="J11" s="100" t="str">
        <x:v>《玉牒》；《清圣祖实录》康熙四十七年；《清世宗实录》雍正元至四年；宗人府档</x:v>
      </x:c>
      <x:c r="K11" s="100" t="str">
        <x:v>待取证</x:v>
      </x:c>
      <x:c r="L11" s="104" t="str"/>
      <x:c r="M11" s="104" t="str"/>
    </x:row>
    <x:row r="12" ht="48" customHeight="1">
      <x:c r="A12" s="100" t="str">
        <x:v>QH-P-000008</x:v>
      </x:c>
      <x:c r="B12" s="100" t="str">
        <x:v>8</x:v>
      </x:c>
      <x:c r="C12" s="100" t="str">
        <x:v>皇帝皇子皇孙公主</x:v>
      </x:c>
      <x:c r="D12" s="100" t="str">
        <x:v>爱新觉罗·胤禟</x:v>
      </x:c>
      <x:c r="E12" s="100" t="str">
        <x:v>允禟；皇九子；塞思黑</x:v>
      </x:c>
      <x:c r="F12" s="100" t="str">
        <x:v>皇子</x:v>
      </x:c>
      <x:c r="G12" s="100" t="str">
        <x:v>P0</x:v>
      </x:c>
      <x:c r="H12" s="100" t="str">
        <x:v>胤禩政治与资源网络的重要节点</x:v>
      </x:c>
      <x:c r="I12" s="100" t="str">
        <x:v>与胤禩胤禵可证实的协同行为；西北活动；改名押解死亡及家属处分</x:v>
      </x:c>
      <x:c r="J12" s="100" t="str">
        <x:v>《玉牒》；《清世宗实录》；允禟案和秦道然案供档；宗人府档</x:v>
      </x:c>
      <x:c r="K12" s="100" t="str">
        <x:v>待取证</x:v>
      </x:c>
      <x:c r="L12" s="104" t="str"/>
      <x:c r="M12" s="104" t="str"/>
    </x:row>
    <x:row r="13" ht="48" customHeight="1">
      <x:c r="A13" s="100" t="str">
        <x:v>QH-P-000009</x:v>
      </x:c>
      <x:c r="B13" s="100" t="str">
        <x:v>9</x:v>
      </x:c>
      <x:c r="C13" s="100" t="str">
        <x:v>皇帝皇子皇孙公主</x:v>
      </x:c>
      <x:c r="D13" s="100" t="str">
        <x:v>爱新觉罗·胤䄉</x:v>
      </x:c>
      <x:c r="E13" s="100" t="str">
        <x:v>允䄉；皇十子；敦郡王</x:v>
      </x:c>
      <x:c r="F13" s="100" t="str">
        <x:v>皇子</x:v>
      </x:c>
      <x:c r="G13" s="100" t="str">
        <x:v>P1</x:v>
      </x:c>
      <x:c r="H13" s="100" t="str">
        <x:v>高等级母族与政治选择的检验样本</x:v>
      </x:c>
      <x:c r="I13" s="100" t="str">
        <x:v>母族地位如何实际转化为资源；与胤禩等人的关系；赴蒙古途中被拘及后续处分</x:v>
      </x:c>
      <x:c r="J13" s="100" t="str">
        <x:v>《玉牒》；《清圣祖实录》；《清世宗实录》；宗人府处分档</x:v>
      </x:c>
      <x:c r="K13" s="100" t="str">
        <x:v>待取证</x:v>
      </x:c>
      <x:c r="L13" s="104" t="str"/>
      <x:c r="M13" s="104" t="str"/>
    </x:row>
    <x:row r="14" ht="48" customHeight="1">
      <x:c r="A14" s="100" t="str">
        <x:v>QH-P-000010</x:v>
      </x:c>
      <x:c r="B14" s="100" t="str">
        <x:v>10</x:v>
      </x:c>
      <x:c r="C14" s="100" t="str">
        <x:v>皇帝皇子皇孙公主</x:v>
      </x:c>
      <x:c r="D14" s="100" t="str">
        <x:v>爱新觉罗·胤祹</x:v>
      </x:c>
      <x:c r="E14" s="100" t="str">
        <x:v>允祹；履亲王；皇十二子</x:v>
      </x:c>
      <x:c r="F14" s="100" t="str">
        <x:v>皇子</x:v>
      </x:c>
      <x:c r="G14" s="100" t="str">
        <x:v>P1</x:v>
      </x:c>
      <x:c r="H14" s="100" t="str">
        <x:v>苏麻喇姑抚育关系和相对中立路线样本</x:v>
      </x:c>
      <x:c r="I14" s="100" t="str">
        <x:v>生母与抚养者职责区别；苏麻喇姑是否属于养母；爵位反复及原因</x:v>
      </x:c>
      <x:c r="J14" s="100" t="str">
        <x:v>《玉牒》；苏麻喇姑病逝满文档；《清圣祖实录》《清世宗实录》；宗人府档</x:v>
      </x:c>
      <x:c r="K14" s="100" t="str">
        <x:v>待取证</x:v>
      </x:c>
      <x:c r="L14" s="104" t="str"/>
      <x:c r="M14" s="104" t="str"/>
    </x:row>
    <x:row r="15" ht="48" customHeight="1">
      <x:c r="A15" s="100" t="str">
        <x:v>QH-P-000011</x:v>
      </x:c>
      <x:c r="B15" s="100" t="str">
        <x:v>11</x:v>
      </x:c>
      <x:c r="C15" s="100" t="str">
        <x:v>皇帝皇子皇孙公主</x:v>
      </x:c>
      <x:c r="D15" s="100" t="str">
        <x:v>爱新觉罗·胤祥</x:v>
      </x:c>
      <x:c r="E15" s="100" t="str">
        <x:v>允祥；怡贤亲王；皇十三子</x:v>
      </x:c>
      <x:c r="F15" s="100" t="str">
        <x:v>皇子</x:v>
      </x:c>
      <x:c r="G15" s="100" t="str">
        <x:v>P0</x:v>
      </x:c>
      <x:c r="H15" s="100" t="str">
        <x:v>雍正即位后最重要的宗室合作者</x:v>
      </x:c>
      <x:c r="I15" s="100" t="str">
        <x:v>康熙晚年活动为何在通行叙事中出现空白；胤允改名及恢复；即位后实际权力范围</x:v>
      </x:c>
      <x:c r="J15" s="100" t="str">
        <x:v>《玉牒》；《清圣祖实录》《清世宗实录》；怡亲王奏折；内务府相关档</x:v>
      </x:c>
      <x:c r="K15" s="100" t="str">
        <x:v>待取证</x:v>
      </x:c>
      <x:c r="L15" s="104" t="str"/>
      <x:c r="M15" s="104" t="str"/>
    </x:row>
    <x:row r="16" ht="48" customHeight="1">
      <x:c r="A16" s="100" t="str">
        <x:v>QH-P-000012</x:v>
      </x:c>
      <x:c r="B16" s="100" t="str">
        <x:v>12</x:v>
      </x:c>
      <x:c r="C16" s="100" t="str">
        <x:v>皇帝皇子皇孙公主</x:v>
      </x:c>
      <x:c r="D16" s="100" t="str">
        <x:v>爱新觉罗·胤禵</x:v>
      </x:c>
      <x:c r="E16" s="100" t="str">
        <x:v>原名胤祯；允禵；皇十四子；大将军王</x:v>
      </x:c>
      <x:c r="F16" s="100" t="str">
        <x:v>皇子</x:v>
      </x:c>
      <x:c r="G16" s="100" t="str">
        <x:v>P0</x:v>
      </x:c>
      <x:c r="H16" s="100" t="str">
        <x:v>同母兄弟与传位十四子传说的核心对象</x:v>
      </x:c>
      <x:c r="I16" s="100" t="str">
        <x:v>各时期真实用名；大将军王任命权限；康熙是否表达储意；召回守陵拘禁程序</x:v>
      </x:c>
      <x:c r="J16" s="100" t="str">
        <x:v>各年《玉牒》；《抚远大将军允禵奏稿》；《清圣祖实录》《清世宗实录》；康熙遗诏满汉本</x:v>
      </x:c>
      <x:c r="K16" s="100" t="str">
        <x:v>待取证</x:v>
      </x:c>
      <x:c r="L16" s="104" t="str"/>
      <x:c r="M16" s="104" t="str"/>
    </x:row>
    <x:row r="17" ht="48" customHeight="1">
      <x:c r="A17" s="100" t="str">
        <x:v>QH-P-000013</x:v>
      </x:c>
      <x:c r="B17" s="100" t="str">
        <x:v>13</x:v>
      </x:c>
      <x:c r="C17" s="100" t="str">
        <x:v>皇帝皇子皇孙公主</x:v>
      </x:c>
      <x:c r="D17" s="100" t="str">
        <x:v>爱新觉罗·胤禄</x:v>
      </x:c>
      <x:c r="E17" s="100" t="str">
        <x:v>允禄；庄恪亲王；皇十六子</x:v>
      </x:c>
      <x:c r="F17" s="100" t="str">
        <x:v>皇子及承继者</x:v>
      </x:c>
      <x:c r="G17" s="100" t="str">
        <x:v>P2</x:v>
      </x:c>
      <x:c r="H17" s="100" t="str">
        <x:v>测试生物父子与过继宗支并存的数据结构</x:v>
      </x:c>
      <x:c r="I17" s="100" t="str">
        <x:v>奉旨承继庄亲王博果铎之后的日期和法律形式；承继后与皇子身份如何并存</x:v>
      </x:c>
      <x:c r="J17" s="100" t="str">
        <x:v>雍正初年《玉牒》；宗人府承继档；《清世宗实录》</x:v>
      </x:c>
      <x:c r="K17" s="100" t="str">
        <x:v>待取证</x:v>
      </x:c>
      <x:c r="L17" s="104" t="str"/>
      <x:c r="M17" s="104" t="str"/>
    </x:row>
    <x:row r="18" ht="48" customHeight="1">
      <x:c r="A18" s="100" t="str">
        <x:v>QH-P-000014</x:v>
      </x:c>
      <x:c r="B18" s="100" t="str">
        <x:v>14</x:v>
      </x:c>
      <x:c r="C18" s="100" t="str">
        <x:v>皇帝皇子皇孙公主</x:v>
      </x:c>
      <x:c r="D18" s="100" t="str">
        <x:v>爱新觉罗·胤礼</x:v>
      </x:c>
      <x:c r="E18" s="100" t="str">
        <x:v>允礼；果毅亲王；皇十七子</x:v>
      </x:c>
      <x:c r="F18" s="100" t="str">
        <x:v>皇子</x:v>
      </x:c>
      <x:c r="G18" s="100" t="str">
        <x:v>P2</x:v>
      </x:c>
      <x:c r="H18" s="100" t="str">
        <x:v>雍正初年启用年幼诸弟的对照样本</x:v>
      </x:c>
      <x:c r="I18" s="100" t="str">
        <x:v>康熙末年身份和差务；雍正初封爵任职节奏；通行支持某方说是否有证据</x:v>
      </x:c>
      <x:c r="J18" s="100" t="str">
        <x:v>《玉牒》；《清世宗实录》封爵差务条；宗人府档</x:v>
      </x:c>
      <x:c r="K18" s="100" t="str">
        <x:v>待取证</x:v>
      </x:c>
      <x:c r="L18" s="104" t="str"/>
      <x:c r="M18" s="104" t="str"/>
    </x:row>
    <x:row r="19" ht="48" customHeight="1">
      <x:c r="A19" s="100" t="str">
        <x:v>QH-P-000015</x:v>
      </x:c>
      <x:c r="B19" s="100" t="str">
        <x:v>15</x:v>
      </x:c>
      <x:c r="C19" s="100" t="str">
        <x:v>皇帝皇子皇孙公主</x:v>
      </x:c>
      <x:c r="D19" s="100" t="str">
        <x:v>爱新觉罗·胤祄</x:v>
      </x:c>
      <x:c r="E19" s="100" t="str">
        <x:v>皇十八子；十八阿哥</x:v>
      </x:c>
      <x:c r="F19" s="100" t="str">
        <x:v>皇子</x:v>
      </x:c>
      <x:c r="G19" s="100" t="str">
        <x:v>P1</x:v>
      </x:c>
      <x:c r="H19" s="100" t="str">
        <x:v>其死亡是首次废太子官方叙事中的关键事件</x:v>
      </x:c>
      <x:c r="I19" s="100" t="str">
        <x:v>热河病亡过程；康熙对胤礽反应的记述来自何种记录；后来的道德化叙事是否增饰</x:v>
      </x:c>
      <x:c r="J19" s="100" t="str">
        <x:v>《玉牒》；《清圣祖实录》康熙四十七年；随驾起居奏折及宫中档</x:v>
      </x:c>
      <x:c r="K19" s="100" t="str">
        <x:v>待取证</x:v>
      </x:c>
      <x:c r="L19" s="104" t="str"/>
      <x:c r="M19" s="104" t="str"/>
    </x:row>
    <x:row r="20" ht="48" customHeight="1">
      <x:c r="A20" s="100" t="str">
        <x:v>QH-P-000016</x:v>
      </x:c>
      <x:c r="B20" s="100" t="str">
        <x:v>16</x:v>
      </x:c>
      <x:c r="C20" s="100" t="str">
        <x:v>皇帝皇子皇孙公主</x:v>
      </x:c>
      <x:c r="D20" s="100" t="str">
        <x:v>爱新觉罗·弘晳</x:v>
      </x:c>
      <x:c r="E20" s="100" t="str">
        <x:v>弘皙；理亲王</x:v>
      </x:c>
      <x:c r="F20" s="100" t="str">
        <x:v>皇孙及胤礽子</x:v>
      </x:c>
      <x:c r="G20" s="100" t="str">
        <x:v>P0</x:v>
      </x:c>
      <x:c r="H20" s="100" t="str">
        <x:v>废太子支系在雍正朝的延续节点</x:v>
      </x:c>
      <x:c r="I20" s="100" t="str">
        <x:v>生母；康熙对其待遇；雍正二年移居郑家庄性质；乾隆四年案如何反向塑造早期叙事</x:v>
      </x:c>
      <x:c r="J20" s="100" t="str">
        <x:v>雍正二年《玉牒》；宗人府档；郑家庄驻防档；《清世宗实录》《清高宗实录》</x:v>
      </x:c>
      <x:c r="K20" s="100" t="str">
        <x:v>待取证</x:v>
      </x:c>
      <x:c r="L20" s="104" t="str"/>
      <x:c r="M20" s="104" t="str"/>
    </x:row>
    <x:row r="21" ht="48" customHeight="1">
      <x:c r="A21" s="100" t="str">
        <x:v>QH-P-000017</x:v>
      </x:c>
      <x:c r="B21" s="100" t="str">
        <x:v>17</x:v>
      </x:c>
      <x:c r="C21" s="100" t="str">
        <x:v>皇帝皇子皇孙公主</x:v>
      </x:c>
      <x:c r="D21" s="100" t="str">
        <x:v>爱新觉罗·弘晖</x:v>
      </x:c>
      <x:c r="E21" s="100" t="str">
        <x:v>后追封端亲王</x:v>
      </x:c>
      <x:c r="F21" s="100" t="str">
        <x:v>雍正皇子及康熙皇孙</x:v>
      </x:c>
      <x:c r="G21" s="100" t="str">
        <x:v>P1</x:v>
      </x:c>
      <x:c r="H21" s="100" t="str">
        <x:v>嫡长子早夭与后世追封的模型样本</x:v>
      </x:c>
      <x:c r="I21" s="100" t="str">
        <x:v>生母出生和早夭日期；追封端亲王时间与政治语境</x:v>
      </x:c>
      <x:c r="J21" s="100" t="str">
        <x:v>《玉牒》；宗人府档；《清世宗实录》追封条；丧祭档</x:v>
      </x:c>
      <x:c r="K21" s="100" t="str">
        <x:v>待取证</x:v>
      </x:c>
      <x:c r="L21" s="104" t="str"/>
      <x:c r="M21" s="104" t="str"/>
    </x:row>
    <x:row r="22" ht="48" customHeight="1">
      <x:c r="A22" s="100" t="str">
        <x:v>QH-P-000018</x:v>
      </x:c>
      <x:c r="B22" s="100" t="str">
        <x:v>18</x:v>
      </x:c>
      <x:c r="C22" s="100" t="str">
        <x:v>皇帝皇子皇孙公主</x:v>
      </x:c>
      <x:c r="D22" s="100" t="str">
        <x:v>爱新觉罗·弘时</x:v>
      </x:c>
      <x:c r="E22" s="100" t="str">
        <x:v>皇三子</x:v>
      </x:c>
      <x:c r="F22" s="100" t="str">
        <x:v>雍正皇子及康熙皇孙</x:v>
      </x:c>
      <x:c r="G22" s="100" t="str">
        <x:v>P1</x:v>
      </x:c>
      <x:c r="H22" s="100" t="str">
        <x:v>雍正家内继承与除籍争议关键人物</x:v>
      </x:c>
      <x:c r="I22" s="100" t="str">
        <x:v>雍正年间身份处分；是否及何时被命为允禩之子；除籍死亡和乾隆朝恢复宗籍文书链</x:v>
      </x:c>
      <x:c r="J22" s="100" t="str">
        <x:v>不同年份《玉牒》；宗人府承继除籍档；《清世宗实录》《清高宗实录》</x:v>
      </x:c>
      <x:c r="K22" s="100" t="str">
        <x:v>待取证</x:v>
      </x:c>
      <x:c r="L22" s="104" t="str"/>
      <x:c r="M22" s="104" t="str"/>
    </x:row>
    <x:row r="23" ht="48" customHeight="1">
      <x:c r="A23" s="100" t="str">
        <x:v>QH-P-000019</x:v>
      </x:c>
      <x:c r="B23" s="100" t="str">
        <x:v>19</x:v>
      </x:c>
      <x:c r="C23" s="100" t="str">
        <x:v>皇帝皇子皇孙公主</x:v>
      </x:c>
      <x:c r="D23" s="100" t="str">
        <x:v>爱新觉罗·弘历</x:v>
      </x:c>
      <x:c r="E23" s="100" t="str">
        <x:v>宝亲王；乾隆帝；高宗</x:v>
      </x:c>
      <x:c r="F23" s="100" t="str">
        <x:v>雍正皇子及康熙皇孙</x:v>
      </x:c>
      <x:c r="G23" s="100" t="str">
        <x:v>P0</x:v>
      </x:c>
      <x:c r="H23" s="100" t="str">
        <x:v>雍正最终继承者并连接秘密建储制度</x:v>
      </x:c>
      <x:c r="I23" s="100" t="str">
        <x:v>生母及出生记录；康熙见过喜爱乃至属意的说法各自证据；秘密建储文书形成过程</x:v>
      </x:c>
      <x:c r="J23" s="100" t="str">
        <x:v>《玉牒》；《雍正朝起居注册》；秘密建储上谕与宗人府档；《清世宗实录》</x:v>
      </x:c>
      <x:c r="K23" s="100" t="str">
        <x:v>待取证</x:v>
      </x:c>
      <x:c r="L23" s="104" t="str"/>
      <x:c r="M23" s="104" t="str"/>
    </x:row>
    <x:row r="24" ht="48" customHeight="1">
      <x:c r="A24" s="100" t="str">
        <x:v>QH-P-000020</x:v>
      </x:c>
      <x:c r="B24" s="100" t="str">
        <x:v>20</x:v>
      </x:c>
      <x:c r="C24" s="100" t="str">
        <x:v>皇帝皇子皇孙公主</x:v>
      </x:c>
      <x:c r="D24" s="100" t="str">
        <x:v>爱新觉罗·弘昼</x:v>
      </x:c>
      <x:c r="E24" s="100" t="str">
        <x:v>和亲王</x:v>
      </x:c>
      <x:c r="F24" s="100" t="str">
        <x:v>雍正皇子及康熙皇孙</x:v>
      </x:c>
      <x:c r="G24" s="100" t="str">
        <x:v>P1</x:v>
      </x:c>
      <x:c r="H24" s="100" t="str">
        <x:v>与弘历同为成年存活皇子的重要对照</x:v>
      </x:c>
      <x:c r="I24" s="100" t="str">
        <x:v>生母；雍正初期受封和差务；是否曾处于继承考虑范围只能以何种证据判断</x:v>
      </x:c>
      <x:c r="J24" s="100" t="str">
        <x:v>《玉牒》；《清世宗实录》；宗人府封爵档</x:v>
      </x:c>
      <x:c r="K24" s="100" t="str">
        <x:v>待取证</x:v>
      </x:c>
      <x:c r="L24" s="104" t="str"/>
      <x:c r="M24" s="104" t="str"/>
    </x:row>
    <x:row r="25" ht="48" customHeight="1">
      <x:c r="A25" s="100" t="str">
        <x:v>QH-P-000021</x:v>
      </x:c>
      <x:c r="B25" s="100" t="str">
        <x:v>21</x:v>
      </x:c>
      <x:c r="C25" s="100" t="str">
        <x:v>皇帝皇子皇孙公主</x:v>
      </x:c>
      <x:c r="D25" s="100" t="str">
        <x:v>爱新觉罗氏荣宪公主</x:v>
      </x:c>
      <x:c r="E25" s="100" t="str">
        <x:v>皇三女；和硕荣宪公主；固伦荣宪公主</x:v>
      </x:c>
      <x:c r="F25" s="100" t="str">
        <x:v>公主</x:v>
      </x:c>
      <x:c r="G25" s="100" t="str">
        <x:v>P2</x:v>
      </x:c>
      <x:c r="H25" s="100" t="str">
        <x:v>避免皇室库退化为纯男性谱系并测试满蒙婚姻关系</x:v>
      </x:c>
      <x:c r="I25" s="100" t="str">
        <x:v>卷166已打开：康熙十二年五月生；三十年六月下嫁乌尔衮；初封和硕荣宪，四十八年进固伦。玉牒、册文、理藩院档仍待核。额驸乌尔衮尚未建档。</x:v>
      </x:c>
      <x:c r="J25" s="100" t="str">
        <x:v>《清史稿》卷166第三女行；册封诰命；理藩院蒙古婚姻档</x:v>
      </x:c>
      <x:c r="K25" s="100" t="str">
        <x:v>待取证</x:v>
      </x:c>
      <x:c r="L25" s="104" t="str"/>
      <x:c r="M25" s="104" t="str">
        <x:v>公主表沿用本 ID，不得再给 QH-P-000082。</x:v>
      </x:c>
    </x:row>
    <x:row r="26" ht="48" customHeight="1">
      <x:c r="A26" s="100" t="str">
        <x:v>QH-P-000022</x:v>
      </x:c>
      <x:c r="B26" s="100" t="str">
        <x:v>22</x:v>
      </x:c>
      <x:c r="C26" s="100" t="str">
        <x:v>皇太后后妃生母抚养者配偶</x:v>
      </x:c>
      <x:c r="D26" s="100" t="str">
        <x:v>博尔济吉特氏（孝惠章皇后）</x:v>
      </x:c>
      <x:c r="E26" s="100" t="str">
        <x:v>仁宪皇太后；孝惠章皇后</x:v>
      </x:c>
      <x:c r="F26" s="100" t="str">
        <x:v>皇太后及康熙嫡母</x:v>
      </x:c>
      <x:c r="G26" s="100" t="str">
        <x:v>P1</x:v>
      </x:c>
      <x:c r="H26" s="100" t="str">
        <x:v>测试生母嫡母与皇太后的区别</x:v>
      </x:c>
      <x:c r="I26" s="100" t="str">
        <x:v>与玄烨的礼法母子关系；是否及如何抚育胤祺等皇孙；晚年宫廷地位</x:v>
      </x:c>
      <x:c r="J26" s="100" t="str">
        <x:v>册立及上尊号册文；《清圣祖实录》；宫中档；陵寝档</x:v>
      </x:c>
      <x:c r="K26" s="100" t="str">
        <x:v>待取证</x:v>
      </x:c>
      <x:c r="L26" s="104" t="str"/>
      <x:c r="M26" s="104" t="str"/>
    </x:row>
    <x:row r="27" ht="48" customHeight="1">
      <x:c r="A27" s="100" t="str">
        <x:v>QH-P-000023</x:v>
      </x:c>
      <x:c r="B27" s="100" t="str">
        <x:v>23</x:v>
      </x:c>
      <x:c r="C27" s="100" t="str">
        <x:v>皇太后后妃生母抚养者配偶</x:v>
      </x:c>
      <x:c r="D27" s="100" t="str">
        <x:v>赫舍里氏（孝诚仁皇后）</x:v>
      </x:c>
      <x:c r="E27" s="100" t="str">
        <x:v>仁孝皇后；孝诚仁皇后</x:v>
      </x:c>
      <x:c r="F27" s="100" t="str">
        <x:v>皇后及胤礽生母</x:v>
      </x:c>
      <x:c r="G27" s="100" t="str">
        <x:v>P0</x:v>
      </x:c>
      <x:c r="H27" s="100" t="str">
        <x:v>皇太子嫡出身份和索额图网络起点</x:v>
      </x:c>
      <x:c r="I27" s="100" t="str">
        <x:v>《清史稿》后妃传作康熙四年七月册后，本纪六作四年九月辛卯；十三年五月丙寅生胤礽即日崩，实录诏作五月初三日。初谥仁孝与雍正改谥须分层。索额图与她的准确亲属层级待玉牒。</x:v>
      </x:c>
      <x:c r="J27" s="100" t="str">
        <x:v>皇后册文；《清圣祖实录》；《玉牒》；赫舍里氏相关档</x:v>
      </x:c>
      <x:c r="K27" s="100" t="str">
        <x:v>待取证</x:v>
      </x:c>
      <x:c r="L27" s="104" t="str"/>
      <x:c r="M27" s="104" t="str"/>
    </x:row>
    <x:row r="28" ht="48" customHeight="1">
      <x:c r="A28" s="100" t="str">
        <x:v>QH-P-000024</x:v>
      </x:c>
      <x:c r="B28" s="100" t="str">
        <x:v>24</x:v>
      </x:c>
      <x:c r="C28" s="100" t="str">
        <x:v>皇太后后妃生母抚养者配偶</x:v>
      </x:c>
      <x:c r="D28" s="100" t="str">
        <x:v>佟佳氏（孝懿仁皇后）</x:v>
      </x:c>
      <x:c r="E28" s="100" t="str">
        <x:v>皇贵妃佟佳氏；孝懿仁皇后</x:v>
      </x:c>
      <x:c r="F28" s="100" t="str">
        <x:v>皇后及胤禛抚养者候选</x:v>
      </x:c>
      <x:c r="G28" s="100" t="str">
        <x:v>P0</x:v>
      </x:c>
      <x:c r="H28" s="100" t="str">
        <x:v>雍正生母抚养者嫡母三分模型关键</x:v>
      </x:c>
      <x:c r="I28" s="100" t="str">
        <x:v>本纪七：康熙二十八年七月癸卯册后，甲辰崩谥孝懿。后妃传作病笃册后、翌日甲辰崩。抚育胤禛的直接证据起止仍待册文与宫中档。她不是胤禛生母。</x:v>
      </x:c>
      <x:c r="J28" s="100" t="str">
        <x:v>册封皇贵妃皇后册文；《清圣祖实录》；《玉牒》；宫中档</x:v>
      </x:c>
      <x:c r="K28" s="100" t="str">
        <x:v>待取证</x:v>
      </x:c>
      <x:c r="L28" s="104" t="str"/>
      <x:c r="M28" s="104" t="str"/>
    </x:row>
    <x:row r="29" ht="48" customHeight="1">
      <x:c r="A29" s="100" t="str">
        <x:v>QH-P-000025</x:v>
      </x:c>
      <x:c r="B29" s="100" t="str">
        <x:v>25</x:v>
      </x:c>
      <x:c r="C29" s="100" t="str">
        <x:v>皇太后后妃生母抚养者配偶</x:v>
      </x:c>
      <x:c r="D29" s="100" t="str">
        <x:v>乌雅氏（孝恭仁皇后）</x:v>
      </x:c>
      <x:c r="E29" s="100" t="str">
        <x:v>德嫔；德妃；仁寿皇太后</x:v>
      </x:c>
      <x:c r="F29" s="100" t="str">
        <x:v>后妃及胤禛胤禵生母</x:v>
      </x:c>
      <x:c r="G29" s="100" t="str">
        <x:v>P0</x:v>
      </x:c>
      <x:c r="H29" s="100" t="str">
        <x:v>同母兄弟母子关系和尊封争议中心</x:v>
      </x:c>
      <x:c r="I29" s="100" t="str">
        <x:v>康熙朝后妃传只记德嫔、德妃，未记册后。世宗即位尊皇太后，拟徽号仁寿、后妃传说未上册，但本纪九崩条称仁寿皇太后。所生子女完整清单待玉牒。</x:v>
      </x:c>
      <x:c r="J29" s="100" t="str">
        <x:v>册文；《玉牒》；《清圣祖实录》《清世宗实录》；皇太后丧仪档</x:v>
      </x:c>
      <x:c r="K29" s="100" t="str">
        <x:v>待取证</x:v>
      </x:c>
      <x:c r="L29" s="104" t="str"/>
      <x:c r="M29" s="104" t="str"/>
    </x:row>
    <x:row r="30" ht="48" customHeight="1">
      <x:c r="A30" s="100" t="str">
        <x:v>QH-P-000026</x:v>
      </x:c>
      <x:c r="B30" s="100" t="str">
        <x:v>26</x:v>
      </x:c>
      <x:c r="C30" s="100" t="str">
        <x:v>皇太后后妃生母抚养者配偶</x:v>
      </x:c>
      <x:c r="D30" s="100" t="str">
        <x:v>纳喇氏（惠妃）</x:v>
      </x:c>
      <x:c r="E30" s="100" t="str">
        <x:v>叶赫那拉氏；惠嫔；惠妃</x:v>
      </x:c>
      <x:c r="F30" s="100" t="str">
        <x:v>后妃及胤禔生母</x:v>
      </x:c>
      <x:c r="G30" s="100" t="str">
        <x:v>P0</x:v>
      </x:c>
      <x:c r="H30" s="100" t="str">
        <x:v>胤禔生母及胤禩抚养关系候选</x:v>
      </x:c>
      <x:c r="I30" s="100" t="str">
        <x:v>规范氏族写法；是否何时抚育胤禩；胤禔拘禁后母子接触与居住</x:v>
      </x:c>
      <x:c r="J30" s="100" t="str">
        <x:v>册文；《玉牒》；《清圣祖实录》《清世宗实录》；宫中档</x:v>
      </x:c>
      <x:c r="K30" s="100" t="str">
        <x:v>待取证</x:v>
      </x:c>
      <x:c r="L30" s="104" t="str"/>
      <x:c r="M30" s="104" t="str"/>
    </x:row>
    <x:row r="31" ht="48" customHeight="1">
      <x:c r="A31" s="100" t="str">
        <x:v>QH-P-000027</x:v>
      </x:c>
      <x:c r="B31" s="100" t="str">
        <x:v>27</x:v>
      </x:c>
      <x:c r="C31" s="100" t="str">
        <x:v>皇太后后妃生母抚养者配偶</x:v>
      </x:c>
      <x:c r="D31" s="100" t="str">
        <x:v>马佳氏（荣妃）</x:v>
      </x:c>
      <x:c r="E31" s="100" t="str">
        <x:v>荣嫔；荣妃</x:v>
      </x:c>
      <x:c r="F31" s="100" t="str">
        <x:v>后妃及胤祉荣宪公主生母</x:v>
      </x:c>
      <x:c r="G31" s="100" t="str">
        <x:v>P1</x:v>
      </x:c>
      <x:c r="H31" s="100" t="str">
        <x:v>连接皇子公主与高夭折率家庭史</x:v>
      </x:c>
      <x:c r="I31" s="100" t="str">
        <x:v>所生子女及齿序；晋封过程；与胤祉荣宪公主实际往来证据</x:v>
      </x:c>
      <x:c r="J31" s="100" t="str">
        <x:v>册文；《玉牒》；《清圣祖实录》；内务府档</x:v>
      </x:c>
      <x:c r="K31" s="100" t="str">
        <x:v>待取证</x:v>
      </x:c>
      <x:c r="L31" s="104" t="str"/>
      <x:c r="M31" s="104" t="str"/>
    </x:row>
    <x:row r="32" ht="48" customHeight="1">
      <x:c r="A32" s="100" t="str">
        <x:v>QH-P-000028</x:v>
      </x:c>
      <x:c r="B32" s="100" t="str">
        <x:v>28</x:v>
      </x:c>
      <x:c r="C32" s="100" t="str">
        <x:v>皇太后后妃生母抚养者配偶</x:v>
      </x:c>
      <x:c r="D32" s="100" t="str">
        <x:v>郭络罗氏（宜妃）</x:v>
      </x:c>
      <x:c r="E32" s="100" t="str">
        <x:v>宜嫔；宜妃</x:v>
      </x:c>
      <x:c r="F32" s="100" t="str">
        <x:v>后妃及胤祺胤禟生母</x:v>
      </x:c>
      <x:c r="G32" s="100" t="str">
        <x:v>P1</x:v>
      </x:c>
      <x:c r="H32" s="100" t="str">
        <x:v>同母兄弟不同政治命运的核心母节点</x:v>
      </x:c>
      <x:c r="I32" s="100" t="str">
        <x:v>所生子女；康熙崩后礼仪争议原始记录；胤禟被处分后待遇变化</x:v>
      </x:c>
      <x:c r="J32" s="100" t="str">
        <x:v>册文；《玉牒》；《清圣祖实录》《清世宗实录》；宫中礼仪档</x:v>
      </x:c>
      <x:c r="K32" s="100" t="str">
        <x:v>待取证</x:v>
      </x:c>
      <x:c r="L32" s="104" t="str"/>
      <x:c r="M32" s="104" t="str"/>
    </x:row>
    <x:row r="33" ht="48" customHeight="1">
      <x:c r="A33" s="100" t="str">
        <x:v>QH-P-000029</x:v>
      </x:c>
      <x:c r="B33" s="100" t="str">
        <x:v>29</x:v>
      </x:c>
      <x:c r="C33" s="100" t="str">
        <x:v>皇太后后妃生母抚养者配偶</x:v>
      </x:c>
      <x:c r="D33" s="100" t="str">
        <x:v>卫氏（良妃）</x:v>
      </x:c>
      <x:c r="E33" s="100" t="str">
        <x:v>良嫔；良妃；觉禅氏说待核</x:v>
      </x:c>
      <x:c r="F33" s="100" t="str">
        <x:v>后妃及胤禩生母</x:v>
      </x:c>
      <x:c r="G33" s="100" t="str">
        <x:v>P0</x:v>
      </x:c>
      <x:c r="H33" s="100" t="str">
        <x:v>低位生母与皇子政治身份叙事典型</x:v>
      </x:c>
      <x:c r="I33" s="100" t="str">
        <x:v>出身入宫身份和氏族写法；康熙贬抑其出身原话是否存在及语境；封妃与安葬</x:v>
      </x:c>
      <x:c r="J33" s="100" t="str">
        <x:v>册文；《玉牒》；康熙朝内务府档；陵寝档</x:v>
      </x:c>
      <x:c r="K33" s="100" t="str">
        <x:v>待取证</x:v>
      </x:c>
      <x:c r="L33" s="104" t="str"/>
      <x:c r="M33" s="104" t="str"/>
    </x:row>
    <x:row r="34" ht="48" customHeight="1">
      <x:c r="A34" s="100" t="str">
        <x:v>QH-P-000030</x:v>
      </x:c>
      <x:c r="B34" s="100" t="str">
        <x:v>30</x:v>
      </x:c>
      <x:c r="C34" s="100" t="str">
        <x:v>皇太后后妃生母抚养者配偶</x:v>
      </x:c>
      <x:c r="D34" s="100" t="str">
        <x:v>钮祜禄氏（温僖贵妃）</x:v>
      </x:c>
      <x:c r="E34" s="100" t="str">
        <x:v>温僖贵妃</x:v>
      </x:c>
      <x:c r="F34" s="100" t="str">
        <x:v>后妃及胤䄉生母</x:v>
      </x:c>
      <x:c r="G34" s="100" t="str">
        <x:v>P1</x:v>
      </x:c>
      <x:c r="H34" s="100" t="str">
        <x:v>高等级母族与皇子身份对照</x:v>
      </x:c>
      <x:c r="I34" s="100" t="str">
        <x:v>与孝昭仁皇后遏必隆阿灵阿的准确关系；子女与封号时间</x:v>
      </x:c>
      <x:c r="J34" s="100" t="str">
        <x:v>册文；《玉牒》；《清圣祖实录》；丧仪档</x:v>
      </x:c>
      <x:c r="K34" s="100" t="str">
        <x:v>待取证</x:v>
      </x:c>
      <x:c r="L34" s="104" t="str"/>
      <x:c r="M34" s="104" t="str"/>
    </x:row>
    <x:row r="35" ht="48" customHeight="1">
      <x:c r="A35" s="100" t="str">
        <x:v>QH-P-000031</x:v>
      </x:c>
      <x:c r="B35" s="100" t="str">
        <x:v>31</x:v>
      </x:c>
      <x:c r="C35" s="100" t="str">
        <x:v>皇太后后妃生母抚养者配偶</x:v>
      </x:c>
      <x:c r="D35" s="100" t="str">
        <x:v>万琉哈氏（定妃）</x:v>
      </x:c>
      <x:c r="E35" s="100" t="str">
        <x:v>万流哈氏；定嫔；定妃</x:v>
      </x:c>
      <x:c r="F35" s="100" t="str">
        <x:v>后妃及胤祹生母</x:v>
      </x:c>
      <x:c r="G35" s="100" t="str">
        <x:v>P1</x:v>
      </x:c>
      <x:c r="H35" s="100" t="str">
        <x:v>生母与苏麻喇姑抚育角色必须拆分</x:v>
      </x:c>
      <x:c r="I35" s="100" t="str">
        <x:v>姓氏异写；生育和抚养边界；雍正以后出宫随子奉养时间与制度</x:v>
      </x:c>
      <x:c r="J35" s="100" t="str">
        <x:v>《玉牒》；册文；《清圣祖实录》《清世宗实录》；王府奉养档</x:v>
      </x:c>
      <x:c r="K35" s="100" t="str">
        <x:v>待取证</x:v>
      </x:c>
      <x:c r="L35" s="104" t="str"/>
      <x:c r="M35" s="104" t="str"/>
    </x:row>
    <x:row r="36" ht="48" customHeight="1">
      <x:c r="A36" s="100" t="str">
        <x:v>QH-P-000032</x:v>
      </x:c>
      <x:c r="B36" s="100" t="str">
        <x:v>32</x:v>
      </x:c>
      <x:c r="C36" s="100" t="str">
        <x:v>皇太后后妃生母抚养者配偶</x:v>
      </x:c>
      <x:c r="D36" s="100" t="str">
        <x:v>章佳氏（敬敏皇贵妃）</x:v>
      </x:c>
      <x:c r="E36" s="100" t="str">
        <x:v>敏妃；敬敏皇贵妃</x:v>
      </x:c>
      <x:c r="F36" s="100" t="str">
        <x:v>后妃及胤祥生母</x:v>
      </x:c>
      <x:c r="G36" s="100" t="str">
        <x:v>P1</x:v>
      </x:c>
      <x:c r="H36" s="100" t="str">
        <x:v>测试死后多次追尊和陵寝迁改</x:v>
      </x:c>
      <x:c r="I36" s="100" t="str">
        <x:v>生前位号；雍正追尊依据；改葬和祔葬程序；所生子女</x:v>
      </x:c>
      <x:c r="J36" s="100" t="str">
        <x:v>册文；《玉牒》；《清圣祖实录》《清世宗实录》；陵寝档</x:v>
      </x:c>
      <x:c r="K36" s="100" t="str">
        <x:v>待取证</x:v>
      </x:c>
      <x:c r="L36" s="104" t="str"/>
      <x:c r="M36" s="104" t="str"/>
    </x:row>
    <x:row r="37" ht="48" customHeight="1">
      <x:c r="A37" s="100" t="str">
        <x:v>QH-P-000033</x:v>
      </x:c>
      <x:c r="B37" s="100" t="str">
        <x:v>33</x:v>
      </x:c>
      <x:c r="C37" s="100" t="str">
        <x:v>皇太后后妃生母抚养者配偶</x:v>
      </x:c>
      <x:c r="D37" s="100" t="str">
        <x:v>王氏（顺懿密妃）</x:v>
      </x:c>
      <x:c r="E37" s="100" t="str">
        <x:v>密嫔；密妃</x:v>
      </x:c>
      <x:c r="F37" s="100" t="str">
        <x:v>后妃及胤禄胤祄等生母</x:v>
      </x:c>
      <x:c r="G37" s="100" t="str">
        <x:v>P2</x:v>
      </x:c>
      <x:c r="H37" s="100" t="str">
        <x:v>连接胤禄承继与胤祄事件</x:v>
      </x:c>
      <x:c r="I37" s="100" t="str">
        <x:v>所生皇子清单；密嫔至密妃及后续尊封时间；子女抚育情况</x:v>
      </x:c>
      <x:c r="J37" s="100" t="str">
        <x:v>册文；《玉牒》；宫中档；陵寝档</x:v>
      </x:c>
      <x:c r="K37" s="100" t="str">
        <x:v>待取证</x:v>
      </x:c>
      <x:c r="L37" s="104" t="str"/>
      <x:c r="M37" s="104" t="str"/>
    </x:row>
    <x:row r="38" ht="48" customHeight="1">
      <x:c r="A38" s="100" t="str">
        <x:v>QH-P-000034</x:v>
      </x:c>
      <x:c r="B38" s="100" t="str">
        <x:v>34</x:v>
      </x:c>
      <x:c r="C38" s="100" t="str">
        <x:v>皇太后后妃生母抚养者配偶</x:v>
      </x:c>
      <x:c r="D38" s="100" t="str">
        <x:v>陈氏（纯裕勤妃）</x:v>
      </x:c>
      <x:c r="E38" s="100" t="str">
        <x:v>勤嫔；勤妃</x:v>
      </x:c>
      <x:c r="F38" s="100" t="str">
        <x:v>后妃及胤礼生母</x:v>
      </x:c>
      <x:c r="G38" s="100" t="str">
        <x:v>P2</x:v>
      </x:c>
      <x:c r="H38" s="100" t="str">
        <x:v>覆盖低位后妃在新朝被尊封路径</x:v>
      </x:c>
      <x:c r="I38" s="100" t="str">
        <x:v>生育胤礼记录；康熙朝真实位号；雍正乾隆朝尊封次序</x:v>
      </x:c>
      <x:c r="J38" s="100" t="str">
        <x:v>册文；《玉牒》；《清世宗实录》；陵寝档</x:v>
      </x:c>
      <x:c r="K38" s="100" t="str">
        <x:v>待取证</x:v>
      </x:c>
      <x:c r="L38" s="104" t="str"/>
      <x:c r="M38" s="104" t="str"/>
    </x:row>
    <x:row r="39" ht="48" customHeight="1">
      <x:c r="A39" s="100" t="str">
        <x:v>QH-P-000035</x:v>
      </x:c>
      <x:c r="B39" s="100" t="str">
        <x:v>35</x:v>
      </x:c>
      <x:c r="C39" s="100" t="str">
        <x:v>皇太后后妃生母抚养者配偶</x:v>
      </x:c>
      <x:c r="D39" s="100" t="str">
        <x:v>苏麻喇姑</x:v>
      </x:c>
      <x:c r="E39" s="100" t="str">
        <x:v>苏麻喇；苏茉儿；苏墨尔等异写</x:v>
      </x:c>
      <x:c r="F39" s="100" t="str">
        <x:v>宫廷女性及抚养者</x:v>
      </x:c>
      <x:c r="G39" s="100" t="str">
        <x:v>P1</x:v>
      </x:c>
      <x:c r="H39" s="100" t="str">
        <x:v>宫廷非后妃照护关系核心样本</x:v>
      </x:c>
      <x:c r="I39" s="100" t="str">
        <x:v>与孝庄玄烨胤祹分别是什么关系；老师养母等后世称呼是否符合原始记录；病逝及嫔礼治丧</x:v>
      </x:c>
      <x:c r="J39" s="100" t="str">
        <x:v>内务府满文档中病逝治丧奏折；《清圣祖实录》；允祹相关王府档</x:v>
      </x:c>
      <x:c r="K39" s="100" t="str">
        <x:v>待取证</x:v>
      </x:c>
      <x:c r="L39" s="104" t="str"/>
      <x:c r="M39" s="104" t="str"/>
    </x:row>
    <x:row r="40" ht="48" customHeight="1">
      <x:c r="A40" s="100" t="str">
        <x:v>QH-P-000036</x:v>
      </x:c>
      <x:c r="B40" s="100" t="str">
        <x:v>36</x:v>
      </x:c>
      <x:c r="C40" s="100" t="str">
        <x:v>皇太后后妃生母抚养者配偶</x:v>
      </x:c>
      <x:c r="D40" s="100" t="str">
        <x:v>乌拉那拉氏（孝敬宪皇后）</x:v>
      </x:c>
      <x:c r="E40" s="100" t="str">
        <x:v>嫡福晋；雍正皇后</x:v>
      </x:c>
      <x:c r="F40" s="100" t="str">
        <x:v>皇后及弘晖生母</x:v>
      </x:c>
      <x:c r="G40" s="100" t="str">
        <x:v>P0</x:v>
      </x:c>
      <x:c r="H40" s="100" t="str">
        <x:v>雍正嫡妻与嫡子支系中心</x:v>
      </x:c>
      <x:c r="I40" s="100" t="str">
        <x:v>皇子婚娶日期；嫡福晋到皇后位号变化；弘晖生母身份；死亡及合葬</x:v>
      </x:c>
      <x:c r="J40" s="100" t="str">
        <x:v>皇子婚娶档；雍正元年册后册文；《玉牒》；《清世宗实录》</x:v>
      </x:c>
      <x:c r="K40" s="100" t="str">
        <x:v>待取证</x:v>
      </x:c>
      <x:c r="L40" s="104" t="str"/>
      <x:c r="M40" s="104" t="str"/>
    </x:row>
    <x:row r="41" ht="48" customHeight="1">
      <x:c r="A41" s="100" t="str">
        <x:v>QH-P-000037</x:v>
      </x:c>
      <x:c r="B41" s="100" t="str">
        <x:v>37</x:v>
      </x:c>
      <x:c r="C41" s="100" t="str">
        <x:v>皇太后后妃生母抚养者配偶</x:v>
      </x:c>
      <x:c r="D41" s="100" t="str">
        <x:v>钮祜禄氏（孝圣宪皇后）</x:v>
      </x:c>
      <x:c r="E41" s="100" t="str">
        <x:v>熹妃；熹贵妃；崇庆皇太后</x:v>
      </x:c>
      <x:c r="F41" s="100" t="str">
        <x:v>后妃及弘历生母</x:v>
      </x:c>
      <x:c r="G41" s="100" t="str">
        <x:v>P0</x:v>
      </x:c>
      <x:c r="H41" s="100" t="str">
        <x:v>乾隆继承与母族叙事核心</x:v>
      </x:c>
      <x:c r="I41" s="100" t="str">
        <x:v>入雍亲王府身份；弘历出生记录；熹妃熹贵妃位号是否有版本问题；凌柱家世</x:v>
      </x:c>
      <x:c r="J41" s="100" t="str">
        <x:v>《玉牒》；雍正朝册文；《清世宗实录》；内务府档</x:v>
      </x:c>
      <x:c r="K41" s="100" t="str">
        <x:v>待取证</x:v>
      </x:c>
      <x:c r="L41" s="104" t="str"/>
      <x:c r="M41" s="104" t="str"/>
    </x:row>
    <x:row r="42" ht="48" customHeight="1">
      <x:c r="A42" s="100" t="str">
        <x:v>QH-P-000038</x:v>
      </x:c>
      <x:c r="B42" s="100" t="str">
        <x:v>38</x:v>
      </x:c>
      <x:c r="C42" s="100" t="str">
        <x:v>皇太后后妃生母抚养者配偶</x:v>
      </x:c>
      <x:c r="D42" s="100" t="str">
        <x:v>年氏（敦肃皇贵妃）</x:v>
      </x:c>
      <x:c r="E42" s="100" t="str">
        <x:v>年侧福晋；年贵妃</x:v>
      </x:c>
      <x:c r="F42" s="100" t="str">
        <x:v>后妃及年羹尧之妹</x:v>
      </x:c>
      <x:c r="G42" s="100" t="str">
        <x:v>P0</x:v>
      </x:c>
      <x:c r="H42" s="100" t="str">
        <x:v>后宫关系与外廷权力不能简单因果化样本</x:v>
      </x:c>
      <x:c r="I42" s="100" t="str">
        <x:v>入府和册封时间；所生子女；死亡追封与年羹尧获罪先后关系</x:v>
      </x:c>
      <x:c r="J42" s="100" t="str">
        <x:v>皇子婚娶档；册贵妃皇贵妃文；《清世宗实录》；年氏家族档</x:v>
      </x:c>
      <x:c r="K42" s="100" t="str">
        <x:v>待取证</x:v>
      </x:c>
      <x:c r="L42" s="104" t="str"/>
      <x:c r="M42" s="104" t="str"/>
    </x:row>
    <x:row r="43" ht="48" customHeight="1">
      <x:c r="A43" s="100" t="str">
        <x:v>QH-P-000039</x:v>
      </x:c>
      <x:c r="B43" s="100" t="str">
        <x:v>39</x:v>
      </x:c>
      <x:c r="C43" s="100" t="str">
        <x:v>皇太后后妃生母抚养者配偶</x:v>
      </x:c>
      <x:c r="D43" s="100" t="str">
        <x:v>李氏（齐妃）</x:v>
      </x:c>
      <x:c r="E43" s="100" t="str">
        <x:v>李侧福晋；齐妃</x:v>
      </x:c>
      <x:c r="F43" s="100" t="str">
        <x:v>后妃及弘时生母</x:v>
      </x:c>
      <x:c r="G43" s="100" t="str">
        <x:v>P1</x:v>
      </x:c>
      <x:c r="H43" s="100" t="str">
        <x:v>弘时处分对母亲地位影响检验样本</x:v>
      </x:c>
      <x:c r="I43" s="100" t="str">
        <x:v>入府身份；所生子女；册妃过程；弘时失势后待遇是否改变</x:v>
      </x:c>
      <x:c r="J43" s="100" t="str">
        <x:v>《玉牒》；册文；《清世宗实录》；宗人府弘时档</x:v>
      </x:c>
      <x:c r="K43" s="100" t="str">
        <x:v>待取证</x:v>
      </x:c>
      <x:c r="L43" s="104" t="str"/>
      <x:c r="M43" s="104" t="str"/>
    </x:row>
    <x:row r="44" ht="48" customHeight="1">
      <x:c r="A44" s="100" t="str">
        <x:v>QH-P-000040</x:v>
      </x:c>
      <x:c r="B44" s="100" t="str">
        <x:v>40</x:v>
      </x:c>
      <x:c r="C44" s="100" t="str">
        <x:v>皇太后后妃生母抚养者配偶</x:v>
      </x:c>
      <x:c r="D44" s="100" t="str">
        <x:v>耿氏（后谥纯懿皇贵妃）</x:v>
      </x:c>
      <x:c r="E44" s="100" t="str">
        <x:v>耿格格；裕嫔；裕妃</x:v>
      </x:c>
      <x:c r="F44" s="100" t="str">
        <x:v>后妃及弘昼生母</x:v>
      </x:c>
      <x:c r="G44" s="100" t="str">
        <x:v>P1</x:v>
      </x:c>
      <x:c r="H44" s="100" t="str">
        <x:v>与钮祜禄氏并列的藩邸低位女性晋升对照</x:v>
      </x:c>
      <x:c r="I44" s="100" t="str">
        <x:v>入府身份；弘昼生母记录；裕嫔裕妃及后世尊封逐次日期</x:v>
      </x:c>
      <x:c r="J44" s="100" t="str">
        <x:v>《玉牒》；册文；《清世宗实录》；内务府档</x:v>
      </x:c>
      <x:c r="K44" s="100" t="str">
        <x:v>待取证</x:v>
      </x:c>
      <x:c r="L44" s="104" t="str"/>
      <x:c r="M44" s="104" t="str"/>
    </x:row>
    <x:row r="45" ht="48" customHeight="1">
      <x:c r="A45" s="100" t="str">
        <x:v>QH-P-000041</x:v>
      </x:c>
      <x:c r="B45" s="100" t="str">
        <x:v>41</x:v>
      </x:c>
      <x:c r="C45" s="100" t="str">
        <x:v>皇太后后妃生母抚养者配偶</x:v>
      </x:c>
      <x:c r="D45" s="100" t="str">
        <x:v>瓜尔佳氏（胤礽嫡福晋）</x:v>
      </x:c>
      <x:c r="E45" s="100" t="str">
        <x:v>石氏；皇太子妃</x:v>
      </x:c>
      <x:c r="F45" s="100" t="str">
        <x:v>皇子配偶及太子妃</x:v>
      </x:c>
      <x:c r="G45" s="100" t="str">
        <x:v>P0</x:v>
      </x:c>
      <x:c r="H45" s="100" t="str">
        <x:v>测试废储前后配偶位号及太子家内嫡庶</x:v>
      </x:c>
      <x:c r="I45" s="100" t="str">
        <x:v>石文炳之女身份；正式册立程序；所生子女；胤礽两度被废后称号和待遇</x:v>
      </x:c>
      <x:c r="J45" s="100" t="str">
        <x:v>《玉牒》；皇太子妃册文；《清圣祖实录》；皇子婚娶档</x:v>
      </x:c>
      <x:c r="K45" s="100" t="str">
        <x:v>待取证</x:v>
      </x:c>
      <x:c r="L45" s="104" t="str"/>
      <x:c r="M45" s="104" t="str"/>
    </x:row>
    <x:row r="46" ht="48" customHeight="1">
      <x:c r="A46" s="100" t="str">
        <x:v>QH-P-000042</x:v>
      </x:c>
      <x:c r="B46" s="100" t="str">
        <x:v>42</x:v>
      </x:c>
      <x:c r="C46" s="100" t="str">
        <x:v>皇太后后妃生母抚养者配偶</x:v>
      </x:c>
      <x:c r="D46" s="100" t="str">
        <x:v>李佳氏（胤礽侧室）</x:v>
      </x:c>
      <x:c r="E46" s="100" t="str">
        <x:v>侧福晋李佳氏；弘晳生母</x:v>
      </x:c>
      <x:c r="F46" s="100" t="str">
        <x:v>皇子配偶及皇孙生母</x:v>
      </x:c>
      <x:c r="G46" s="100" t="str">
        <x:v>P0</x:v>
      </x:c>
      <x:c r="H46" s="100" t="str">
        <x:v>弘晳血缘与废太子家内结构关键节点</x:v>
      </x:c>
      <x:c r="I46" s="100" t="str">
        <x:v>入府身份和正式位号；所生子女；弘晳生母关系；雍正朝住所和待遇</x:v>
      </x:c>
      <x:c r="J46" s="100" t="str">
        <x:v>不同年份《玉牒》；宗人府内务府档；郑家庄档</x:v>
      </x:c>
      <x:c r="K46" s="100" t="str">
        <x:v>待取证</x:v>
      </x:c>
      <x:c r="L46" s="104" t="str"/>
      <x:c r="M46" s="104" t="str"/>
    </x:row>
    <x:row r="47" ht="48" customHeight="1">
      <x:c r="A47" s="100" t="str">
        <x:v>QH-P-000043</x:v>
      </x:c>
      <x:c r="B47" s="100" t="str">
        <x:v>43</x:v>
      </x:c>
      <x:c r="C47" s="100" t="str">
        <x:v>皇太后后妃生母抚养者配偶</x:v>
      </x:c>
      <x:c r="D47" s="100" t="str">
        <x:v>郭络罗氏（胤禩嫡福晋）</x:v>
      </x:c>
      <x:c r="E47" s="100" t="str">
        <x:v>八福晋；廉亲王福晋</x:v>
      </x:c>
      <x:c r="F47" s="100" t="str">
        <x:v>皇子配偶</x:v>
      </x:c>
      <x:c r="G47" s="100" t="str">
        <x:v>P0</x:v>
      </x:c>
      <x:c r="H47" s="100" t="str">
        <x:v>少数直接进入政治处分文本的皇子配偶</x:v>
      </x:c>
      <x:c r="I47" s="100" t="str">
        <x:v>与安亲王岳乐准确亲属链；婚期；雍正四年休妻死亡及遗骸处置各版本；操控胤禩说来源</x:v>
      </x:c>
      <x:c r="J47" s="100" t="str">
        <x:v>《玉牒》；皇子婚娶档；《清世宗实录》雍正四年；宗人府审讯处分档</x:v>
      </x:c>
      <x:c r="K47" s="100" t="str">
        <x:v>待取证</x:v>
      </x:c>
      <x:c r="L47" s="104" t="str"/>
      <x:c r="M47" s="104" t="str"/>
    </x:row>
    <x:row r="48" ht="48" customHeight="1">
      <x:c r="A48" s="100" t="str">
        <x:v>QH-P-000044</x:v>
      </x:c>
      <x:c r="B48" s="100" t="str">
        <x:v>44</x:v>
      </x:c>
      <x:c r="C48" s="100" t="str">
        <x:v>皇太后后妃生母抚养者配偶</x:v>
      </x:c>
      <x:c r="D48" s="100" t="str">
        <x:v>兆佳氏（胤祥嫡福晋）</x:v>
      </x:c>
      <x:c r="E48" s="100" t="str">
        <x:v>怡亲王嫡福晋</x:v>
      </x:c>
      <x:c r="F48" s="100" t="str">
        <x:v>皇子配偶</x:v>
      </x:c>
      <x:c r="G48" s="100" t="str">
        <x:v>P1</x:v>
      </x:c>
      <x:c r="H48" s="100" t="str">
        <x:v>补足雍正核心盟友王府家庭和继嗣结构</x:v>
      </x:c>
      <x:c r="I48" s="100" t="str">
        <x:v>婚期所生子女和嫡庶；胤祥死后王府承继册封与丧祭安排</x:v>
      </x:c>
      <x:c r="J48" s="100" t="str">
        <x:v>《玉牒》；皇子婚娶档；怡亲王府档；册封及丧祭档</x:v>
      </x:c>
      <x:c r="K48" s="100" t="str">
        <x:v>待取证</x:v>
      </x:c>
      <x:c r="L48" s="104" t="str"/>
      <x:c r="M48" s="104" t="str"/>
    </x:row>
    <x:row r="49" ht="48" customHeight="1">
      <x:c r="A49" s="100" t="str">
        <x:v>QH-P-000045</x:v>
      </x:c>
      <x:c r="B49" s="100" t="str">
        <x:v>45</x:v>
      </x:c>
      <x:c r="C49" s="100" t="str">
        <x:v>外戚大臣政治网络</x:v>
      </x:c>
      <x:c r="D49" s="100" t="str">
        <x:v>赫舍里·索额图</x:v>
      </x:c>
      <x:c r="E49" s="100" t="str">
        <x:v>索额图</x:v>
      </x:c>
      <x:c r="F49" s="100" t="str">
        <x:v>外戚及大臣</x:v>
      </x:c>
      <x:c r="G49" s="100" t="str">
        <x:v>P0</x:v>
      </x:c>
      <x:c r="H49" s="100" t="str">
        <x:v>皇太子早期母族与政治网络代表</x:v>
      </x:c>
      <x:c r="I49" s="100" t="str">
        <x:v>与孝诚仁皇后准确亲属层级；协助太子与结党指控证据；康熙四十二年处置和死亡</x:v>
      </x:c>
      <x:c r="J49" s="100" t="str">
        <x:v>《清圣祖实录》；康熙朝满汉奏折；两皇子密奏；内阁大库档</x:v>
      </x:c>
      <x:c r="K49" s="100" t="str">
        <x:v>待取证</x:v>
      </x:c>
      <x:c r="L49" s="104" t="str"/>
      <x:c r="M49" s="104" t="str"/>
    </x:row>
    <x:row r="50" ht="48" customHeight="1">
      <x:c r="A50" s="100" t="str">
        <x:v>QH-P-000046</x:v>
      </x:c>
      <x:c r="B50" s="100" t="str">
        <x:v>46</x:v>
      </x:c>
      <x:c r="C50" s="100" t="str">
        <x:v>外戚大臣政治网络</x:v>
      </x:c>
      <x:c r="D50" s="100" t="str">
        <x:v>佟佳·佟国维</x:v>
      </x:c>
      <x:c r="E50" s="100" t="str">
        <x:v>佟国维；一等公</x:v>
      </x:c>
      <x:c r="F50" s="100" t="str">
        <x:v>外戚及大臣</x:v>
      </x:c>
      <x:c r="G50" s="100" t="str">
        <x:v>P0</x:v>
      </x:c>
      <x:c r="H50" s="100" t="str">
        <x:v>连接孝懿仁皇后隆科多与胤禩推举案</x:v>
      </x:c>
      <x:c r="I50" s="100" t="str">
        <x:v>与胤禛究竟是血亲抚养亲还是政治姻亲；康熙四十七年推荐胤禩程序与责任</x:v>
      </x:c>
      <x:c r="J50" s="100" t="str">
        <x:v>《清圣祖实录》康熙四十七年；上谕档；内阁大库档；佟氏家族档</x:v>
      </x:c>
      <x:c r="K50" s="100" t="str">
        <x:v>待取证</x:v>
      </x:c>
      <x:c r="L50" s="104" t="str"/>
      <x:c r="M50" s="104" t="str"/>
    </x:row>
    <x:row r="51" ht="48" customHeight="1">
      <x:c r="A51" s="100" t="str">
        <x:v>QH-P-000047</x:v>
      </x:c>
      <x:c r="B51" s="100" t="str">
        <x:v>47</x:v>
      </x:c>
      <x:c r="C51" s="100" t="str">
        <x:v>外戚大臣政治网络</x:v>
      </x:c>
      <x:c r="D51" s="100" t="str">
        <x:v>富察·马齐</x:v>
      </x:c>
      <x:c r="E51" s="100" t="str">
        <x:v>马齐；大学士马齐</x:v>
      </x:c>
      <x:c r="F51" s="100" t="str">
        <x:v>大臣</x:v>
      </x:c>
      <x:c r="G51" s="100" t="str">
        <x:v>P0</x:v>
      </x:c>
      <x:c r="H51" s="100" t="str">
        <x:v>百官举荐胤禩事件的制度执行者</x:v>
      </x:c>
      <x:c r="I51" s="100" t="str">
        <x:v>谁发起并如何组织推荐；马齐个人意见与集体结果能否区分；受罚复用时间线</x:v>
      </x:c>
      <x:c r="J51" s="100" t="str">
        <x:v>《清圣祖实录》康熙四十七年前后；满汉奏折；内阁档；《清世宗实录》</x:v>
      </x:c>
      <x:c r="K51" s="100" t="str">
        <x:v>待取证</x:v>
      </x:c>
      <x:c r="L51" s="104" t="str"/>
      <x:c r="M51" s="104" t="str"/>
    </x:row>
    <x:row r="52" ht="48" customHeight="1">
      <x:c r="A52" s="100" t="str">
        <x:v>QH-P-000048</x:v>
      </x:c>
      <x:c r="B52" s="100" t="str">
        <x:v>48</x:v>
      </x:c>
      <x:c r="C52" s="100" t="str">
        <x:v>外戚大臣政治网络</x:v>
      </x:c>
      <x:c r="D52" s="100" t="str">
        <x:v>佟佳·隆科多</x:v>
      </x:c>
      <x:c r="E52" s="100" t="str">
        <x:v>隆科多；舅舅隆科多</x:v>
      </x:c>
      <x:c r="F52" s="100" t="str">
        <x:v>外戚及大臣</x:v>
      </x:c>
      <x:c r="G52" s="100" t="str">
        <x:v>P0</x:v>
      </x:c>
      <x:c r="H52" s="100" t="str">
        <x:v>康熙临终传谕和雍正即位程序第一关键证人</x:v>
      </x:c>
      <x:c r="I52" s="100" t="str">
        <x:v>是否在畅春园现场；传谕原文和受命顺序；舅舅称谓礼法含义；掌权获罪审判</x:v>
      </x:c>
      <x:c r="J52" s="100" t="str">
        <x:v>康熙遗诏满汉本；《清圣祖实录》卷末；《清世宗实录》；隆科多案档</x:v>
      </x:c>
      <x:c r="K52" s="100" t="str">
        <x:v>待取证</x:v>
      </x:c>
      <x:c r="L52" s="104" t="str"/>
      <x:c r="M52" s="104" t="str"/>
    </x:row>
    <x:row r="53" ht="48" customHeight="1">
      <x:c r="A53" s="100" t="str">
        <x:v>QH-P-000049</x:v>
      </x:c>
      <x:c r="B53" s="100" t="str">
        <x:v>49</x:v>
      </x:c>
      <x:c r="C53" s="100" t="str">
        <x:v>外戚大臣政治网络</x:v>
      </x:c>
      <x:c r="D53" s="100" t="str">
        <x:v>年羹尧</x:v>
      </x:c>
      <x:c r="E53" s="100" t="str">
        <x:v>年大将军；川陕总督；抚远大将军</x:v>
      </x:c>
      <x:c r="F53" s="100" t="str">
        <x:v>外戚及大臣</x:v>
      </x:c>
      <x:c r="G53" s="100" t="str">
        <x:v>P0</x:v>
      </x:c>
      <x:c r="H53" s="100" t="str">
        <x:v>雍正早期军政权力与婚姻关系交叉节点</x:v>
      </x:c>
      <x:c r="I53" s="100" t="str">
        <x:v>与胤禛藩邸期真实关系；西北军权形成；与年氏受宠是否有直接因果；获罪过程</x:v>
      </x:c>
      <x:c r="J53" s="100" t="str">
        <x:v>年羹尧满汉奏折；《雍正朱批谕旨》；《清世宗实录》；年羹尧案档</x:v>
      </x:c>
      <x:c r="K53" s="100" t="str">
        <x:v>待取证</x:v>
      </x:c>
      <x:c r="L53" s="104" t="str"/>
      <x:c r="M53" s="104" t="str"/>
    </x:row>
    <x:row r="54" ht="48" customHeight="1">
      <x:c r="A54" s="100" t="str">
        <x:v>QH-P-000050</x:v>
      </x:c>
      <x:c r="B54" s="100" t="str">
        <x:v>50</x:v>
      </x:c>
      <x:c r="C54" s="100" t="str">
        <x:v>外戚大臣政治网络</x:v>
      </x:c>
      <x:c r="D54" s="100" t="str">
        <x:v>托合齐</x:v>
      </x:c>
      <x:c r="E54" s="100" t="str">
        <x:v>步军统领托合齐</x:v>
      </x:c>
      <x:c r="F54" s="100" t="str">
        <x:v>大臣及太子网络人物</x:v>
      </x:c>
      <x:c r="G54" s="100" t="str">
        <x:v>P1</x:v>
      </x:c>
      <x:c r="H54" s="100" t="str">
        <x:v>补足索额图死后太子政治网络与第二次废储前史</x:v>
      </x:c>
      <x:c r="I54" s="100" t="str">
        <x:v>康熙五十年前后宴会案参与者指控和审判；与胤礽可证实关系；处死方式与家属处分</x:v>
      </x:c>
      <x:c r="J54" s="100" t="str">
        <x:v>《清圣祖实录》康熙五十年前后；刑部内阁案件档；皇太子相关奏折</x:v>
      </x:c>
      <x:c r="K54" s="100" t="str">
        <x:v>待取证</x:v>
      </x:c>
      <x:c r="L54" s="104" t="str"/>
      <x:c r="M54" s="104" t="str"/>
    </x:row>
    <x:row r="55" ht="48" customHeight="1">
      <x:c r="A55" s="100" t="str">
        <x:v>QH-P-000060</x:v>
      </x:c>
      <x:c r="B55" s="100" t="str">
        <x:v>51</x:v>
      </x:c>
      <x:c r="C55" s="100" t="str">
        <x:v>皇太后后妃生母抚养者配偶</x:v>
      </x:c>
      <x:c r="D55" s="100" t="str">
        <x:v>钮祜禄氏（孝昭仁皇后）</x:v>
      </x:c>
      <x:c r="E55" s="100" t="str">
        <x:v>孝昭皇后；遏必隆女</x:v>
      </x:c>
      <x:c r="F55" s="100" t="str">
        <x:v>皇后</x:v>
      </x:c>
      <x:c r="G55" s="100" t="str">
        <x:v>P0</x:v>
      </x:c>
      <x:c r="H55" s="100" t="str">
        <x:v>康熙四后中原50人表缺口；册后约半年崩，是时态称号轴的关键对照</x:v>
      </x:c>
      <x:c r="I55" s="100" t="str">
        <x:v>后妃传：初为妃，十六年八月册后，十七年二月丁卯崩。本纪六同日谥孝昭皇后。册妃日期、实录条次、与温僖贵妃的姐妹关系待打开册文与玉牒。</x:v>
      </x:c>
      <x:c r="J55" s="100" t="str">
        <x:v>《清史稿》卷214；《清史稿》卷6；《清圣祖实录》康熙十六、十七年；皇后册文；《玉牒》</x:v>
      </x:c>
      <x:c r="K55" s="100" t="str">
        <x:v>待取证</x:v>
      </x:c>
      <x:c r="L55" s="104" t="str"/>
      <x:c r="M55" s="104" t="str"/>
    </x:row>
    <x:row r="56" ht="48" customHeight="1">
      <x:c r="A56" s="100" t="str">
        <x:v>QH-P-000061</x:v>
      </x:c>
      <x:c r="B56" s="100" t="str">
        <x:v>52</x:v>
      </x:c>
      <x:c r="C56" s="100" t="str">
        <x:v>皇帝皇子皇孙公主</x:v>
      </x:c>
      <x:c r="D56" s="100" t="str">
        <x:v>爱新觉罗·胤祐</x:v>
      </x:c>
      <x:c r="E56" s="100" t="str">
        <x:v>允祐；皇七子；淳度亲王</x:v>
      </x:c>
      <x:c r="F56" s="100" t="str">
        <x:v>皇子</x:v>
      </x:c>
      <x:c r="G56" s="100" t="str">
        <x:v>P0</x:v>
      </x:c>
      <x:c r="H56" s="100" t="str">
        <x:v>崩逝条御榻名单中的皇七子，原50人表缺口</x:v>
      </x:c>
      <x:c r="I56" s="100" t="str">
        <x:v>卷164：圣祖第七子。康熙三十九年封贝勒，四十八年晋淳郡王，雍正元年晋淳亲王，八年薨，谥曰度。后妃传：成妃戴佳氏子一允祐。成妃尚未建档。</x:v>
      </x:c>
      <x:c r="J56" s="100" t="str">
        <x:v>《清史稿》卷164；卷214成妃条；《清圣祖实录》卷300崩逝条</x:v>
      </x:c>
      <x:c r="K56" s="100" t="str">
        <x:v>待取证</x:v>
      </x:c>
      <x:c r="L56" s="104" t="str"/>
      <x:c r="M56" s="104" t="str"/>
    </x:row>
    <x:row r="57" ht="48" customHeight="1">
      <x:c r="A57" s="100" t="str">
        <x:v>QH-P-000062</x:v>
      </x:c>
      <x:c r="B57" s="100" t="str">
        <x:v>53</x:v>
      </x:c>
      <x:c r="C57" s="100" t="str">
        <x:v>皇帝皇子皇孙公主</x:v>
      </x:c>
      <x:c r="D57" s="100" t="str">
        <x:v>爱新觉罗·胤祚</x:v>
      </x:c>
      <x:c r="E57" s="100" t="str">
        <x:v>允祚；皇六子</x:v>
      </x:c>
      <x:c r="F57" s="100" t="str">
        <x:v>皇子</x:v>
      </x:c>
      <x:c r="G57" s="100" t="str">
        <x:v>P1</x:v>
      </x:c>
      <x:c r="H57" s="100" t="str">
        <x:v>孝恭三子之一，早卒，是同母兄弟对照</x:v>
      </x:c>
      <x:c r="I57" s="100" t="str">
        <x:v>卷164：圣祖第六子，早卒。后妃传：孝恭子三世宗、允禵、允祚，允祚六岁殇。生年卒日待玉牒。</x:v>
      </x:c>
      <x:c r="J57" s="100" t="str">
        <x:v>《清史稿》卷164；卷214孝恭传；《玉牒》</x:v>
      </x:c>
      <x:c r="K57" s="100" t="str">
        <x:v>待取证</x:v>
      </x:c>
      <x:c r="L57" s="104" t="str"/>
      <x:c r="M57" s="104" t="str"/>
    </x:row>
    <x:row r="58" ht="48" customHeight="1">
      <x:c r="A58" s="100" t="str">
        <x:v>QH-P-000063</x:v>
      </x:c>
      <x:c r="B58" s="100" t="str">
        <x:v>54</x:v>
      </x:c>
      <x:c r="C58" s="100" t="str">
        <x:v>皇帝皇子皇孙公主</x:v>
      </x:c>
      <x:c r="D58" s="100" t="str">
        <x:v>爱新觉罗·胤禌</x:v>
      </x:c>
      <x:c r="E58" s="100" t="str">
        <x:v>允禌；皇十一子</x:v>
      </x:c>
      <x:c r="F58" s="100" t="str">
        <x:v>皇子</x:v>
      </x:c>
      <x:c r="G58" s="100" t="str">
        <x:v>P2</x:v>
      </x:c>
      <x:c r="H58" s="100" t="str">
        <x:v>宜妃三子中早卒者，用来对照同母不同命运</x:v>
      </x:c>
      <x:c r="I58" s="100" t="str">
        <x:v>卷164：圣祖第十一子，早卒。后妃传：宜妃子三允祺、允禟、允禌，允禌十二岁殇。</x:v>
      </x:c>
      <x:c r="J58" s="100" t="str">
        <x:v>《清史稿》卷164；卷214宜妃条</x:v>
      </x:c>
      <x:c r="K58" s="100" t="str">
        <x:v>待取证</x:v>
      </x:c>
      <x:c r="L58" s="104" t="str"/>
      <x:c r="M58" s="104" t="str"/>
    </x:row>
    <x:row r="59" ht="48" customHeight="1">
      <x:c r="A59" s="100" t="str">
        <x:v>QH-P-000064</x:v>
      </x:c>
      <x:c r="B59" s="100" t="str">
        <x:v>55</x:v>
      </x:c>
      <x:c r="C59" s="100" t="str">
        <x:v>皇帝皇子皇孙公主</x:v>
      </x:c>
      <x:c r="D59" s="100" t="str">
        <x:v>爱新觉罗·胤禑</x:v>
      </x:c>
      <x:c r="E59" s="100" t="str">
        <x:v>允禑；皇十五子；愉恪郡王</x:v>
      </x:c>
      <x:c r="F59" s="100" t="str">
        <x:v>皇子</x:v>
      </x:c>
      <x:c r="G59" s="100" t="str">
        <x:v>P2</x:v>
      </x:c>
      <x:c r="H59" s="100" t="str">
        <x:v>补全入序皇子；后妃传密妃子作允琶，异写待核</x:v>
      </x:c>
      <x:c r="I59" s="100" t="str">
        <x:v>卷164：圣祖第十五子。雍正四年封贝勒，八年晋愉郡王，九年薨，谥曰恪。后妃传密妃子三允琶、允禄、允祄。琶/禑是否同一人不得自动合并。</x:v>
      </x:c>
      <x:c r="J59" s="100" t="str">
        <x:v>《清史稿》卷164；卷214密妃条</x:v>
      </x:c>
      <x:c r="K59" s="100" t="str">
        <x:v>待取证</x:v>
      </x:c>
      <x:c r="L59" s="104" t="str"/>
      <x:c r="M59" s="104" t="str"/>
    </x:row>
    <x:row r="60" ht="48" customHeight="1">
      <x:c r="A60" s="100" t="str">
        <x:v>QH-P-000065</x:v>
      </x:c>
      <x:c r="B60" s="100" t="str">
        <x:v>56</x:v>
      </x:c>
      <x:c r="C60" s="100" t="str">
        <x:v>皇帝皇子皇孙公主</x:v>
      </x:c>
      <x:c r="D60" s="100" t="str">
        <x:v>爱新觉罗·胤禝</x:v>
      </x:c>
      <x:c r="E60" s="100" t="str">
        <x:v>允禝；皇十九子</x:v>
      </x:c>
      <x:c r="F60" s="100" t="str">
        <x:v>皇子</x:v>
      </x:c>
      <x:c r="G60" s="100" t="str">
        <x:v>P2</x:v>
      </x:c>
      <x:c r="H60" s="100" t="str">
        <x:v>入序而早卒，世表与后妃传尚未交叉到生母</x:v>
      </x:c>
      <x:c r="I60" s="100" t="str">
        <x:v>卷164：圣祖第十九子，早卒。后妃传已打开段落未点名此子。生母待玉牒。</x:v>
      </x:c>
      <x:c r="J60" s="100" t="str">
        <x:v>《清史稿》卷164；《玉牒》</x:v>
      </x:c>
      <x:c r="K60" s="100" t="str">
        <x:v>待取证</x:v>
      </x:c>
      <x:c r="L60" s="104" t="str"/>
      <x:c r="M60" s="104" t="str"/>
    </x:row>
    <x:row r="61" ht="48" customHeight="1">
      <x:c r="A61" s="100" t="str">
        <x:v>QH-P-000066</x:v>
      </x:c>
      <x:c r="B61" s="100" t="str">
        <x:v>57</x:v>
      </x:c>
      <x:c r="C61" s="100" t="str">
        <x:v>皇帝皇子皇孙公主</x:v>
      </x:c>
      <x:c r="D61" s="100" t="str">
        <x:v>爱新觉罗·胤禕</x:v>
      </x:c>
      <x:c r="E61" s="100" t="str">
        <x:v>允禕；皇二十子</x:v>
      </x:c>
      <x:c r="F61" s="100" t="str">
        <x:v>皇子</x:v>
      </x:c>
      <x:c r="G61" s="100" t="str">
        <x:v>P2</x:v>
      </x:c>
      <x:c r="H61" s="100" t="str">
        <x:v>补全入序皇子</x:v>
      </x:c>
      <x:c r="I61" s="100" t="str">
        <x:v>卷164：圣祖第二十子。雍正四年封贝子，八年晋贝勒，十二年缘事降辅国公，十三年复贝勒，乾隆二十年卒，谥简靖。后妃传：襄嫔高氏子一允禕。襄嫔尚未建档。</x:v>
      </x:c>
      <x:c r="J61" s="100" t="str">
        <x:v>《清史稿》卷164；卷214襄嫔条</x:v>
      </x:c>
      <x:c r="K61" s="100" t="str">
        <x:v>待取证</x:v>
      </x:c>
      <x:c r="L61" s="104" t="str"/>
      <x:c r="M61" s="104" t="str"/>
    </x:row>
    <x:row r="62" ht="48" customHeight="1">
      <x:c r="A62" s="100" t="str">
        <x:v>QH-P-000067</x:v>
      </x:c>
      <x:c r="B62" s="100" t="str">
        <x:v>58</x:v>
      </x:c>
      <x:c r="C62" s="100" t="str">
        <x:v>皇帝皇子皇孙公主</x:v>
      </x:c>
      <x:c r="D62" s="100" t="str">
        <x:v>爱新觉罗·胤禧</x:v>
      </x:c>
      <x:c r="E62" s="100" t="str">
        <x:v>允禧；皇二十一子；慎靖郡王</x:v>
      </x:c>
      <x:c r="F62" s="100" t="str">
        <x:v>皇子</x:v>
      </x:c>
      <x:c r="G62" s="100" t="str">
        <x:v>P2</x:v>
      </x:c>
      <x:c r="H62" s="100" t="str">
        <x:v>补全入序皇子</x:v>
      </x:c>
      <x:c r="I62" s="100" t="str">
        <x:v>卷164：圣祖第二十一子。雍正八年封贝子，寻晋贝勒，十三年晋慎郡王，乾隆二十三年薨，谥曰靖。后妃传：熙嫔陈氏子一允禧。熙嫔尚未建档。</x:v>
      </x:c>
      <x:c r="J62" s="100" t="str">
        <x:v>《清史稿》卷164；卷214熙嫔条</x:v>
      </x:c>
      <x:c r="K62" s="100" t="str">
        <x:v>待取证</x:v>
      </x:c>
      <x:c r="L62" s="104" t="str"/>
      <x:c r="M62" s="104" t="str"/>
    </x:row>
    <x:row r="63" ht="48" customHeight="1">
      <x:c r="A63" s="100" t="str">
        <x:v>QH-P-000068</x:v>
      </x:c>
      <x:c r="B63" s="100" t="str">
        <x:v>59</x:v>
      </x:c>
      <x:c r="C63" s="100" t="str">
        <x:v>皇帝皇子皇孙公主</x:v>
      </x:c>
      <x:c r="D63" s="100" t="str">
        <x:v>爱新觉罗·胤祜</x:v>
      </x:c>
      <x:c r="E63" s="100" t="str">
        <x:v>允祜；皇二十二子</x:v>
      </x:c>
      <x:c r="F63" s="100" t="str">
        <x:v>皇子</x:v>
      </x:c>
      <x:c r="G63" s="100" t="str">
        <x:v>P2</x:v>
      </x:c>
      <x:c r="H63" s="100" t="str">
        <x:v>补全入序皇子</x:v>
      </x:c>
      <x:c r="I63" s="100" t="str">
        <x:v>卷164：圣祖第二十二子。雍正八年封贝子，十二年晋贝勒，乾隆八年卒，谥曰恭勤。后妃传：谨嫔色赫图氏子一允祜。谨嫔尚未建档。</x:v>
      </x:c>
      <x:c r="J63" s="100" t="str">
        <x:v>《清史稿》卷164；卷214谨嫔条</x:v>
      </x:c>
      <x:c r="K63" s="100" t="str">
        <x:v>待取证</x:v>
      </x:c>
      <x:c r="L63" s="104" t="str"/>
      <x:c r="M63" s="104" t="str"/>
    </x:row>
    <x:row r="64" ht="48" customHeight="1">
      <x:c r="A64" s="100" t="str">
        <x:v>QH-P-000069</x:v>
      </x:c>
      <x:c r="B64" s="100" t="str">
        <x:v>60</x:v>
      </x:c>
      <x:c r="C64" s="100" t="str">
        <x:v>皇帝皇子皇孙公主</x:v>
      </x:c>
      <x:c r="D64" s="100" t="str">
        <x:v>爱新觉罗·胤祁</x:v>
      </x:c>
      <x:c r="E64" s="100" t="str">
        <x:v>允祁；皇二十三子</x:v>
      </x:c>
      <x:c r="F64" s="100" t="str">
        <x:v>皇子</x:v>
      </x:c>
      <x:c r="G64" s="100" t="str">
        <x:v>P2</x:v>
      </x:c>
      <x:c r="H64" s="100" t="str">
        <x:v>补全入序皇子</x:v>
      </x:c>
      <x:c r="I64" s="100" t="str">
        <x:v>卷164：圣祖第二十三子。雍正八年封镇国公，后晋贝勒，乾隆间反复降晋，五十年卒，谥曰诚。后妃传：静嫔石氏子一允祁。静嫔尚未建档。</x:v>
      </x:c>
      <x:c r="J64" s="100" t="str">
        <x:v>《清史稿》卷164；卷214静嫔条</x:v>
      </x:c>
      <x:c r="K64" s="100" t="str">
        <x:v>待取证</x:v>
      </x:c>
      <x:c r="L64" s="104" t="str"/>
      <x:c r="M64" s="104" t="str"/>
    </x:row>
    <x:row r="65" ht="48" customHeight="1">
      <x:c r="A65" s="100" t="str">
        <x:v>QH-P-000070</x:v>
      </x:c>
      <x:c r="B65" s="100" t="str">
        <x:v>61</x:v>
      </x:c>
      <x:c r="C65" s="100" t="str">
        <x:v>皇帝皇子皇孙公主</x:v>
      </x:c>
      <x:c r="D65" s="100" t="str">
        <x:v>爱新觉罗·胤祕</x:v>
      </x:c>
      <x:c r="E65" s="100" t="str">
        <x:v>允祕；皇二十四子；诚恪亲王</x:v>
      </x:c>
      <x:c r="F65" s="100" t="str">
        <x:v>皇子</x:v>
      </x:c>
      <x:c r="G65" s="100" t="str">
        <x:v>P2</x:v>
      </x:c>
      <x:c r="H65" s="100" t="str">
        <x:v>入序最幼，勿与胤祉诚亲王混为一人</x:v>
      </x:c>
      <x:c r="I65" s="100" t="str">
        <x:v>卷164：圣祖第二十四子。雍正十一年封诚亲王，乾隆三十八年薨，谥曰恪。后妃传：穆嫔陈氏子一允祕。穆嫔尚未建档。与皇三子胤祉同用诚亲王号，必须分人。</x:v>
      </x:c>
      <x:c r="J65" s="100" t="str">
        <x:v>《清史稿》卷164；卷214穆嫔条</x:v>
      </x:c>
      <x:c r="K65" s="100" t="str">
        <x:v>待取证</x:v>
      </x:c>
      <x:c r="L65" s="104" t="str"/>
      <x:c r="M65" s="104" t="str"/>
    </x:row>
    <x:row r="66" ht="48" customHeight="1">
      <x:c r="A66" s="100" t="str">
        <x:v>QH-P-000071</x:v>
      </x:c>
      <x:c r="B66" s="100" t="str">
        <x:v>62</x:v>
      </x:c>
      <x:c r="C66" s="100" t="str">
        <x:v>皇帝皇子皇孙公主</x:v>
      </x:c>
      <x:c r="D66" s="100" t="str">
        <x:v>爱新觉罗·承瑞</x:v>
      </x:c>
      <x:c r="E66" s="100" t="str">
        <x:v>承瑞；荣妃长子</x:v>
      </x:c>
      <x:c r="F66" s="100" t="str">
        <x:v>皇子</x:v>
      </x:c>
      <x:c r="G66" s="100" t="str">
        <x:v>P1</x:v>
      </x:c>
      <x:c r="H66" s="100" t="str">
        <x:v>后妃传称为圣祖长子，与世表第一子胤禔冲突</x:v>
      </x:c>
      <x:c r="I66" s="100" t="str">
        <x:v>卷164列于早薨未入序。后妃传荣妃：承瑞为圣祖长子，四岁殇。不得与胤禔合并。</x:v>
      </x:c>
      <x:c r="J66" s="100" t="str">
        <x:v>《清史稿》卷164；卷214荣妃条</x:v>
      </x:c>
      <x:c r="K66" s="100" t="str">
        <x:v>待取证</x:v>
      </x:c>
      <x:c r="L66" s="104" t="str"/>
      <x:c r="M66" s="104" t="str"/>
    </x:row>
    <x:row r="67" ht="48" customHeight="1">
      <x:c r="A67" s="100" t="str">
        <x:v>QH-P-000072</x:v>
      </x:c>
      <x:c r="B67" s="100" t="str">
        <x:v>63</x:v>
      </x:c>
      <x:c r="C67" s="100" t="str">
        <x:v>皇帝皇子皇孙公主</x:v>
      </x:c>
      <x:c r="D67" s="100" t="str">
        <x:v>爱新觉罗·承祐</x:v>
      </x:c>
      <x:c r="E67" s="100" t="str">
        <x:v>承祐；孝诚长子</x:v>
      </x:c>
      <x:c r="F67" s="100" t="str">
        <x:v>皇子</x:v>
      </x:c>
      <x:c r="G67" s="100" t="str">
        <x:v>P1</x:v>
      </x:c>
      <x:c r="H67" s="100" t="str">
        <x:v>孝诚子二之早殇者，不是皇二子胤礽</x:v>
      </x:c>
      <x:c r="I67" s="100" t="str">
        <x:v>卷164列于早薨未入序。后妃传孝诚：子二承祐，四岁殇；允礽。十三年五月所生皇二子是允礽，不是承祐。</x:v>
      </x:c>
      <x:c r="J67" s="100" t="str">
        <x:v>《清史稿》卷164；卷214孝诚传</x:v>
      </x:c>
      <x:c r="K67" s="100" t="str">
        <x:v>待取证</x:v>
      </x:c>
      <x:c r="L67" s="104" t="str"/>
      <x:c r="M67" s="104" t="str"/>
    </x:row>
    <x:row r="68" ht="48" customHeight="1">
      <x:c r="A68" s="100" t="str">
        <x:v>QH-P-000073</x:v>
      </x:c>
      <x:c r="B68" s="100" t="str">
        <x:v>64</x:v>
      </x:c>
      <x:c r="C68" s="100" t="str">
        <x:v>皇帝皇子皇孙公主</x:v>
      </x:c>
      <x:c r="D68" s="100" t="str">
        <x:v>爱新觉罗·承庆</x:v>
      </x:c>
      <x:c r="E68" s="100" t="str">
        <x:v>承庆；惠妃子</x:v>
      </x:c>
      <x:c r="F68" s="100" t="str">
        <x:v>皇子</x:v>
      </x:c>
      <x:c r="G68" s="100" t="str">
        <x:v>P2</x:v>
      </x:c>
      <x:c r="H68" s="100" t="str">
        <x:v>惠妃早殇子，与胤禔同母候选</x:v>
      </x:c>
      <x:c r="I68" s="100" t="str">
        <x:v>卷164列于早薨未入序。后妃传惠妃：子二承庆，殇；允禔。</x:v>
      </x:c>
      <x:c r="J68" s="100" t="str">
        <x:v>《清史稿》卷164；卷214惠妃条</x:v>
      </x:c>
      <x:c r="K68" s="100" t="str">
        <x:v>待取证</x:v>
      </x:c>
      <x:c r="L68" s="104" t="str"/>
      <x:c r="M68" s="104" t="str"/>
    </x:row>
    <x:row r="69" ht="48" customHeight="1">
      <x:c r="A69" s="100" t="str">
        <x:v>QH-P-000074</x:v>
      </x:c>
      <x:c r="B69" s="100" t="str">
        <x:v>65</x:v>
      </x:c>
      <x:c r="C69" s="100" t="str">
        <x:v>皇帝皇子皇孙公主</x:v>
      </x:c>
      <x:c r="D69" s="100" t="str">
        <x:v>爱新觉罗·赛音察浑</x:v>
      </x:c>
      <x:c r="E69" s="100" t="str">
        <x:v>赛音察浑；荣妃子</x:v>
      </x:c>
      <x:c r="F69" s="100" t="str">
        <x:v>皇子</x:v>
      </x:c>
      <x:c r="G69" s="100" t="str">
        <x:v>P2</x:v>
      </x:c>
      <x:c r="H69" s="100" t="str">
        <x:v>荣妃早殇子，满语用名保留原文</x:v>
      </x:c>
      <x:c r="I69" s="100" t="str">
        <x:v>卷164列于早薨未入序。后妃传荣妃：赛音察浑、长华、长生皆殇。</x:v>
      </x:c>
      <x:c r="J69" s="100" t="str">
        <x:v>《清史稿》卷164；卷214荣妃条</x:v>
      </x:c>
      <x:c r="K69" s="100" t="str">
        <x:v>待取证</x:v>
      </x:c>
      <x:c r="L69" s="104" t="str"/>
      <x:c r="M69" s="104" t="str"/>
    </x:row>
    <x:row r="70" ht="48" customHeight="1">
      <x:c r="A70" s="100" t="str">
        <x:v>QH-P-000075</x:v>
      </x:c>
      <x:c r="B70" s="100" t="str">
        <x:v>66</x:v>
      </x:c>
      <x:c r="C70" s="100" t="str">
        <x:v>皇帝皇子皇孙公主</x:v>
      </x:c>
      <x:c r="D70" s="100" t="str">
        <x:v>爱新觉罗·长华</x:v>
      </x:c>
      <x:c r="E70" s="100" t="str">
        <x:v>长华；荣妃子</x:v>
      </x:c>
      <x:c r="F70" s="100" t="str">
        <x:v>皇子</x:v>
      </x:c>
      <x:c r="G70" s="100" t="str">
        <x:v>P2</x:v>
      </x:c>
      <x:c r="H70" s="100" t="str">
        <x:v>荣妃早殇子</x:v>
      </x:c>
      <x:c r="I70" s="100" t="str">
        <x:v>卷164列于早薨未入序。后妃传荣妃：长华殇。</x:v>
      </x:c>
      <x:c r="J70" s="100" t="str">
        <x:v>《清史稿》卷164；卷214荣妃条</x:v>
      </x:c>
      <x:c r="K70" s="100" t="str">
        <x:v>待取证</x:v>
      </x:c>
      <x:c r="L70" s="104" t="str"/>
      <x:c r="M70" s="104" t="str"/>
    </x:row>
    <x:row r="71" ht="48" customHeight="1">
      <x:c r="A71" s="100" t="str">
        <x:v>QH-P-000076</x:v>
      </x:c>
      <x:c r="B71" s="100" t="str">
        <x:v>67</x:v>
      </x:c>
      <x:c r="C71" s="100" t="str">
        <x:v>皇帝皇子皇孙公主</x:v>
      </x:c>
      <x:c r="D71" s="100" t="str">
        <x:v>爱新觉罗·长生</x:v>
      </x:c>
      <x:c r="E71" s="100" t="str">
        <x:v>长生；荣妃子</x:v>
      </x:c>
      <x:c r="F71" s="100" t="str">
        <x:v>皇子</x:v>
      </x:c>
      <x:c r="G71" s="100" t="str">
        <x:v>P2</x:v>
      </x:c>
      <x:c r="H71" s="100" t="str">
        <x:v>荣妃早殇子</x:v>
      </x:c>
      <x:c r="I71" s="100" t="str">
        <x:v>卷164列于早薨未入序。后妃传荣妃：长生殇。</x:v>
      </x:c>
      <x:c r="J71" s="100" t="str">
        <x:v>《清史稿》卷164；卷214荣妃条</x:v>
      </x:c>
      <x:c r="K71" s="100" t="str">
        <x:v>待取证</x:v>
      </x:c>
      <x:c r="L71" s="104" t="str"/>
      <x:c r="M71" s="104" t="str"/>
    </x:row>
    <x:row r="72" ht="48" customHeight="1">
      <x:c r="A72" s="100" t="str">
        <x:v>QH-P-000077</x:v>
      </x:c>
      <x:c r="B72" s="100" t="str">
        <x:v>68</x:v>
      </x:c>
      <x:c r="C72" s="100" t="str">
        <x:v>皇帝皇子皇孙公主</x:v>
      </x:c>
      <x:c r="D72" s="100" t="str">
        <x:v>爱新觉罗·万黼</x:v>
      </x:c>
      <x:c r="E72" s="100" t="str">
        <x:v>万黼；通嫔子</x:v>
      </x:c>
      <x:c r="F72" s="100" t="str">
        <x:v>皇子</x:v>
      </x:c>
      <x:c r="G72" s="100" t="str">
        <x:v>P2</x:v>
      </x:c>
      <x:c r="H72" s="100" t="str">
        <x:v>通嫔早殇子</x:v>
      </x:c>
      <x:c r="I72" s="100" t="str">
        <x:v>卷164列于早薨未入序。后妃传通嫔：子二万黼，五岁殇；允禶，二岁殇。通嫔尚未建档。</x:v>
      </x:c>
      <x:c r="J72" s="100" t="str">
        <x:v>《清史稿》卷164；卷214通嫔条</x:v>
      </x:c>
      <x:c r="K72" s="100" t="str">
        <x:v>待取证</x:v>
      </x:c>
      <x:c r="L72" s="104" t="str"/>
      <x:c r="M72" s="104" t="str"/>
    </x:row>
    <x:row r="73" ht="48" customHeight="1">
      <x:c r="A73" s="100" t="str">
        <x:v>QH-P-000078</x:v>
      </x:c>
      <x:c r="B73" s="100" t="str">
        <x:v>69</x:v>
      </x:c>
      <x:c r="C73" s="100" t="str">
        <x:v>皇帝皇子皇孙公主</x:v>
      </x:c>
      <x:c r="D73" s="100" t="str">
        <x:v>爱新觉罗·胤禶</x:v>
      </x:c>
      <x:c r="E73" s="100" t="str">
        <x:v>允禶；通嫔子</x:v>
      </x:c>
      <x:c r="F73" s="100" t="str">
        <x:v>皇子</x:v>
      </x:c>
      <x:c r="G73" s="100" t="str">
        <x:v>P2</x:v>
      </x:c>
      <x:c r="H73" s="100" t="str">
        <x:v>通嫔早殇子</x:v>
      </x:c>
      <x:c r="I73" s="100" t="str">
        <x:v>卷164列于早薨未入序。后妃传通嫔：允禶二岁殇。</x:v>
      </x:c>
      <x:c r="J73" s="100" t="str">
        <x:v>《清史稿》卷164；卷214通嫔条</x:v>
      </x:c>
      <x:c r="K73" s="100" t="str">
        <x:v>待取证</x:v>
      </x:c>
      <x:c r="L73" s="104" t="str"/>
      <x:c r="M73" s="104" t="str"/>
    </x:row>
    <x:row r="74" ht="48" customHeight="1">
      <x:c r="A74" s="100" t="str">
        <x:v>QH-P-000079</x:v>
      </x:c>
      <x:c r="B74" s="100" t="str">
        <x:v>70</x:v>
      </x:c>
      <x:c r="C74" s="100" t="str">
        <x:v>皇帝皇子皇孙公主</x:v>
      </x:c>
      <x:c r="D74" s="100" t="str">
        <x:v>爱新觉罗·胤䄔</x:v>
      </x:c>
      <x:c r="E74" s="100" t="str">
        <x:v>允䄔；宜妃妹之子</x:v>
      </x:c>
      <x:c r="F74" s="100" t="str">
        <x:v>皇子</x:v>
      </x:c>
      <x:c r="G74" s="100" t="str">
        <x:v>P2</x:v>
      </x:c>
      <x:c r="H74" s="100" t="str">
        <x:v>宜妃妹所出，早殇</x:v>
      </x:c>
      <x:c r="I74" s="100" t="str">
        <x:v>卷164列于早薨未入序。后妃传：郭络罗氏，宜妃妹，子一允䄔，殇。生母尚未建档。</x:v>
      </x:c>
      <x:c r="J74" s="100" t="str">
        <x:v>《清史稿》卷164；卷214宜妃妹条</x:v>
      </x:c>
      <x:c r="K74" s="100" t="str">
        <x:v>待取证</x:v>
      </x:c>
      <x:c r="L74" s="104" t="str"/>
      <x:c r="M74" s="104" t="str"/>
    </x:row>
    <x:row r="75" ht="48" customHeight="1">
      <x:c r="A75" s="100" t="str">
        <x:v>QH-P-000080</x:v>
      </x:c>
      <x:c r="B75" s="100" t="str">
        <x:v>71</x:v>
      </x:c>
      <x:c r="C75" s="100" t="str">
        <x:v>皇帝皇子皇孙公主</x:v>
      </x:c>
      <x:c r="D75" s="100" t="str">
        <x:v>爱新觉罗·胤禨</x:v>
      </x:c>
      <x:c r="E75" s="100" t="str">
        <x:v>允禨；平妃子</x:v>
      </x:c>
      <x:c r="F75" s="100" t="str">
        <x:v>皇子</x:v>
      </x:c>
      <x:c r="G75" s="100" t="str">
        <x:v>P2</x:v>
      </x:c>
      <x:c r="H75" s="100" t="str">
        <x:v>平妃赫舍里氏子，早殇</x:v>
      </x:c>
      <x:c r="I75" s="100" t="str">
        <x:v>卷164列于早薨未入序。后妃传：平妃赫舍里氏，孝诚皇后妹，子一允禨，殇。平妃尚未建档。</x:v>
      </x:c>
      <x:c r="J75" s="100" t="str">
        <x:v>《清史稿》卷164；卷214平妃条</x:v>
      </x:c>
      <x:c r="K75" s="100" t="str">
        <x:v>待取证</x:v>
      </x:c>
      <x:c r="L75" s="104" t="str"/>
      <x:c r="M75" s="104" t="str"/>
    </x:row>
    <x:row r="76" ht="48" customHeight="1">
      <x:c r="A76" s="100" t="str">
        <x:v>QH-P-000081</x:v>
      </x:c>
      <x:c r="B76" s="100" t="str">
        <x:v>72</x:v>
      </x:c>
      <x:c r="C76" s="100" t="str">
        <x:v>皇帝皇子皇孙公主</x:v>
      </x:c>
      <x:c r="D76" s="100" t="str">
        <x:v>爱新觉罗·胤禐</x:v>
      </x:c>
      <x:c r="E76" s="100" t="str">
        <x:v>允禐；庶妃陈氏子</x:v>
      </x:c>
      <x:c r="F76" s="100" t="str">
        <x:v>皇子</x:v>
      </x:c>
      <x:c r="G76" s="100" t="str">
        <x:v>P2</x:v>
      </x:c>
      <x:c r="H76" s="100" t="str">
        <x:v>庶妃陈氏子，早殇；勿与勤妃陈氏允礼混母</x:v>
      </x:c>
      <x:c r="I76" s="100" t="str">
        <x:v>卷164列于早薨未入序。后妃传：陈氏，子一允禐，殇。此陈氏与勤妃陈氏是否同一人，后妃传分列，不合并。</x:v>
      </x:c>
      <x:c r="J76" s="100" t="str">
        <x:v>《清史稿》卷164；卷214诸妃条</x:v>
      </x:c>
      <x:c r="K76" s="100" t="str">
        <x:v>待取证</x:v>
      </x:c>
      <x:c r="L76" s="104" t="str"/>
      <x:c r="M76" s="104" t="str"/>
    </x:row>
    <x:row r="77" ht="48" customHeight="1">
      <x:c r="A77" s="100" t="str">
        <x:v>QH-P-000090</x:v>
      </x:c>
      <x:c r="B77" s="100" t="str">
        <x:v>73</x:v>
      </x:c>
      <x:c r="C77" s="100" t="str">
        <x:v>外戚大臣政治网络</x:v>
      </x:c>
      <x:c r="D77" s="100" t="str">
        <x:v>李光地</x:v>
      </x:c>
      <x:c r="E77" s="100" t="str">
        <x:v>李晋卿；榕村</x:v>
      </x:c>
      <x:c r="F77" s="100" t="str">
        <x:v>大臣</x:v>
      </x:c>
      <x:c r="G77" s="100" t="str">
        <x:v>P1</x:v>
      </x:c>
      <x:c r="H77" s="100" t="str">
        <x:v>康熙朝理学名臣，参与平台、储位议论</x:v>
      </x:c>
      <x:c r="I77" s="100" t="str">
        <x:v>本库尚未拆此人的原子主张</x:v>
      </x:c>
      <x:c r="J77" s="100" t="str">
        <x:v>《清史稿》卷262</x:v>
      </x:c>
      <x:c r="K77" s="100" t="str">
        <x:v>索引级</x:v>
      </x:c>
      <x:c r="L77" s="104" t="str">
        <x:v>AI</x:v>
      </x:c>
      <x:c r="M77" s="104" t="str"/>
    </x:row>
    <x:row r="78" ht="48" customHeight="1">
      <x:c r="A78" s="100" t="str">
        <x:v>QH-P-000091</x:v>
      </x:c>
      <x:c r="B78" s="100" t="str">
        <x:v>74</x:v>
      </x:c>
      <x:c r="C78" s="100" t="str">
        <x:v>外戚大臣政治网络</x:v>
      </x:c>
      <x:c r="D78" s="100" t="str">
        <x:v>张英</x:v>
      </x:c>
      <x:c r="E78" s="100" t="str">
        <x:v>张敦复；文端</x:v>
      </x:c>
      <x:c r="F78" s="100" t="str">
        <x:v>大臣</x:v>
      </x:c>
      <x:c r="G78" s="100" t="str">
        <x:v>P1</x:v>
      </x:c>
      <x:c r="H78" s="100" t="str">
        <x:v>南书房、大学士，张廷玉之父</x:v>
      </x:c>
      <x:c r="I78" s="100" t="str">
        <x:v>本库尚未拆此人的原子主张</x:v>
      </x:c>
      <x:c r="J78" s="100" t="str">
        <x:v>《清史稿》卷267</x:v>
      </x:c>
      <x:c r="K78" s="100" t="str">
        <x:v>索引级</x:v>
      </x:c>
      <x:c r="L78" s="104" t="str">
        <x:v>AI</x:v>
      </x:c>
      <x:c r="M78" s="104" t="str"/>
    </x:row>
    <x:row r="79" ht="48" customHeight="1">
      <x:c r="A79" s="100" t="str">
        <x:v>QH-P-000092</x:v>
      </x:c>
      <x:c r="B79" s="100" t="str">
        <x:v>75</x:v>
      </x:c>
      <x:c r="C79" s="100" t="str">
        <x:v>外戚大臣政治网络</x:v>
      </x:c>
      <x:c r="D79" s="100" t="str">
        <x:v>张廷玉</x:v>
      </x:c>
      <x:c r="E79" s="100" t="str">
        <x:v>张衡臣；文和</x:v>
      </x:c>
      <x:c r="F79" s="100" t="str">
        <x:v>大臣</x:v>
      </x:c>
      <x:c r="G79" s="100" t="str">
        <x:v>P1</x:v>
      </x:c>
      <x:c r="H79" s="100" t="str">
        <x:v>雍乾两朝重臣，军机处制度关键人物</x:v>
      </x:c>
      <x:c r="I79" s="100" t="str">
        <x:v>本库尚未拆此人的原子主张</x:v>
      </x:c>
      <x:c r="J79" s="100" t="str">
        <x:v>《清史稿》卷288</x:v>
      </x:c>
      <x:c r="K79" s="100" t="str">
        <x:v>索引级</x:v>
      </x:c>
      <x:c r="L79" s="104" t="str">
        <x:v>AI</x:v>
      </x:c>
      <x:c r="M79" s="104" t="str"/>
    </x:row>
    <x:row r="80" ht="48" customHeight="1">
      <x:c r="A80" s="100" t="str">
        <x:v>QH-P-000093</x:v>
      </x:c>
      <x:c r="B80" s="100" t="str">
        <x:v>76</x:v>
      </x:c>
      <x:c r="C80" s="100" t="str">
        <x:v>外戚大臣政治网络</x:v>
      </x:c>
      <x:c r="D80" s="100" t="str">
        <x:v>徐乾学</x:v>
      </x:c>
      <x:c r="E80" s="100" t="str">
        <x:v>徐原一；健庵</x:v>
      </x:c>
      <x:c r="F80" s="100" t="str">
        <x:v>大臣</x:v>
      </x:c>
      <x:c r="G80" s="100" t="str">
        <x:v>P1</x:v>
      </x:c>
      <x:c r="H80" s="100" t="str">
        <x:v>南书房，明史总裁</x:v>
      </x:c>
      <x:c r="I80" s="100" t="str">
        <x:v>本库尚未拆此人的原子主张</x:v>
      </x:c>
      <x:c r="J80" s="100" t="str">
        <x:v>《清史稿》卷271</x:v>
      </x:c>
      <x:c r="K80" s="100" t="str">
        <x:v>索引级</x:v>
      </x:c>
      <x:c r="L80" s="104" t="str">
        <x:v>AI</x:v>
      </x:c>
      <x:c r="M80" s="104" t="str"/>
    </x:row>
    <x:row r="81" ht="48" customHeight="1">
      <x:c r="A81" s="100" t="str">
        <x:v>QH-P-000094</x:v>
      </x:c>
      <x:c r="B81" s="100" t="str">
        <x:v>77</x:v>
      </x:c>
      <x:c r="C81" s="100" t="str">
        <x:v>外戚大臣政治网络</x:v>
      </x:c>
      <x:c r="D81" s="100" t="str">
        <x:v>熊赐履</x:v>
      </x:c>
      <x:c r="E81" s="100" t="str">
        <x:v>熊敬修；文端</x:v>
      </x:c>
      <x:c r="F81" s="100" t="str">
        <x:v>大臣</x:v>
      </x:c>
      <x:c r="G81" s="100" t="str">
        <x:v>P1</x:v>
      </x:c>
      <x:c r="H81" s="100" t="str">
        <x:v>康熙初年首辅</x:v>
      </x:c>
      <x:c r="I81" s="100" t="str">
        <x:v>本库尚未拆此人的原子主张</x:v>
      </x:c>
      <x:c r="J81" s="100" t="str">
        <x:v>《清史稿》卷262</x:v>
      </x:c>
      <x:c r="K81" s="100" t="str">
        <x:v>索引级</x:v>
      </x:c>
      <x:c r="L81" s="104" t="str">
        <x:v>AI</x:v>
      </x:c>
      <x:c r="M81" s="104" t="str"/>
    </x:row>
    <x:row r="82" ht="48" customHeight="1">
      <x:c r="A82" s="100" t="str">
        <x:v>QH-P-000095</x:v>
      </x:c>
      <x:c r="B82" s="100" t="str">
        <x:v>78</x:v>
      </x:c>
      <x:c r="C82" s="100" t="str">
        <x:v>外戚大臣政治网络</x:v>
      </x:c>
      <x:c r="D82" s="100" t="str">
        <x:v>陈廷敬</x:v>
      </x:c>
      <x:c r="E82" s="100" t="str">
        <x:v>陈子端；文贞</x:v>
      </x:c>
      <x:c r="F82" s="100" t="str">
        <x:v>大臣</x:v>
      </x:c>
      <x:c r="G82" s="100" t="str">
        <x:v>P1</x:v>
      </x:c>
      <x:c r="H82" s="100" t="str">
        <x:v>康熙朝大学士、《康熙字典》总裁</x:v>
      </x:c>
      <x:c r="I82" s="100" t="str">
        <x:v>本库尚未拆此人的原子主张</x:v>
      </x:c>
      <x:c r="J82" s="100" t="str">
        <x:v>《清史稿》卷267</x:v>
      </x:c>
      <x:c r="K82" s="100" t="str">
        <x:v>索引级</x:v>
      </x:c>
      <x:c r="L82" s="104" t="str">
        <x:v>AI</x:v>
      </x:c>
      <x:c r="M82" s="104" t="str"/>
    </x:row>
    <x:row r="83" ht="48" customHeight="1">
      <x:c r="A83" s="100" t="str">
        <x:v>QH-P-000096</x:v>
      </x:c>
      <x:c r="B83" s="100" t="str">
        <x:v>79</x:v>
      </x:c>
      <x:c r="C83" s="100" t="str">
        <x:v>外戚大臣政治网络</x:v>
      </x:c>
      <x:c r="D83" s="100" t="str">
        <x:v>纳兰明珠</x:v>
      </x:c>
      <x:c r="E83" s="100" t="str">
        <x:v>纳兰端范</x:v>
      </x:c>
      <x:c r="F83" s="100" t="str">
        <x:v>大臣</x:v>
      </x:c>
      <x:c r="G83" s="100" t="str">
        <x:v>P1</x:v>
      </x:c>
      <x:c r="H83" s="100" t="str">
        <x:v>康熙朝权臣，三藩、平台</x:v>
      </x:c>
      <x:c r="I83" s="100" t="str">
        <x:v>本库尚未拆此人的原子主张</x:v>
      </x:c>
      <x:c r="J83" s="100" t="str">
        <x:v>《清史稿》卷269</x:v>
      </x:c>
      <x:c r="K83" s="100" t="str">
        <x:v>索引级</x:v>
      </x:c>
      <x:c r="L83" s="104" t="str">
        <x:v>AI</x:v>
      </x:c>
      <x:c r="M83" s="104" t="str"/>
    </x:row>
    <x:row r="84" ht="48" customHeight="1">
      <x:c r="A84" s="100" t="str">
        <x:v>QH-P-000097</x:v>
      </x:c>
      <x:c r="B84" s="100" t="str">
        <x:v>80</x:v>
      </x:c>
      <x:c r="C84" s="100" t="str">
        <x:v>外戚大臣政治网络</x:v>
      </x:c>
      <x:c r="D84" s="100" t="str">
        <x:v>于成龙</x:v>
      </x:c>
      <x:c r="E84" s="100" t="str">
        <x:v>于北溟；清端</x:v>
      </x:c>
      <x:c r="F84" s="100" t="str">
        <x:v>大臣</x:v>
      </x:c>
      <x:c r="G84" s="100" t="str">
        <x:v>P1</x:v>
      </x:c>
      <x:c r="H84" s="100" t="str">
        <x:v>康熙朝清廉名臣，直隶巡抚</x:v>
      </x:c>
      <x:c r="I84" s="100" t="str">
        <x:v>本库尚未拆此人的原子主张</x:v>
      </x:c>
      <x:c r="J84" s="100" t="str">
        <x:v>《清史稿》卷277</x:v>
      </x:c>
      <x:c r="K84" s="100" t="str">
        <x:v>索引级</x:v>
      </x:c>
      <x:c r="L84" s="104" t="str">
        <x:v>AI</x:v>
      </x:c>
      <x:c r="M84" s="104" t="str"/>
    </x:row>
    <x:row r="85" ht="48" customHeight="1">
      <x:c r="A85" s="100" t="str">
        <x:v>QH-P-000098</x:v>
      </x:c>
      <x:c r="B85" s="100" t="str">
        <x:v>81</x:v>
      </x:c>
      <x:c r="C85" s="100" t="str">
        <x:v>外戚大臣政治网络</x:v>
      </x:c>
      <x:c r="D85" s="100" t="str">
        <x:v>施琅</x:v>
      </x:c>
      <x:c r="E85" s="100" t="str">
        <x:v>施尊侯；襄壮</x:v>
      </x:c>
      <x:c r="F85" s="100" t="str">
        <x:v>武将</x:v>
      </x:c>
      <x:c r="G85" s="100" t="str">
        <x:v>P1</x:v>
      </x:c>
      <x:c r="H85" s="100" t="str">
        <x:v>平台湾，靖海侯</x:v>
      </x:c>
      <x:c r="I85" s="100" t="str">
        <x:v>本库尚未拆此人的原子主张</x:v>
      </x:c>
      <x:c r="J85" s="100" t="str">
        <x:v>《清史稿》卷260</x:v>
      </x:c>
      <x:c r="K85" s="100" t="str">
        <x:v>索引级</x:v>
      </x:c>
      <x:c r="L85" s="104" t="str">
        <x:v>AI</x:v>
      </x:c>
      <x:c r="M85" s="104" t="str"/>
    </x:row>
    <x:row r="86" ht="48" customHeight="1">
      <x:c r="A86" s="100" t="str">
        <x:v>QH-P-000099</x:v>
      </x:c>
      <x:c r="B86" s="100" t="str">
        <x:v>82</x:v>
      </x:c>
      <x:c r="C86" s="100" t="str">
        <x:v>外戚大臣政治网络</x:v>
      </x:c>
      <x:c r="D86" s="100" t="str">
        <x:v>姚启圣</x:v>
      </x:c>
      <x:c r="E86" s="100" t="str">
        <x:v>姚熙止；忧庵</x:v>
      </x:c>
      <x:c r="F86" s="100" t="str">
        <x:v>武将</x:v>
      </x:c>
      <x:c r="G86" s="100" t="str">
        <x:v>P1</x:v>
      </x:c>
      <x:c r="H86" s="100" t="str">
        <x:v>平台湾，总督</x:v>
      </x:c>
      <x:c r="I86" s="100" t="str">
        <x:v>本库尚未拆此人的原子主张</x:v>
      </x:c>
      <x:c r="J86" s="100" t="str">
        <x:v>《清史稿》卷260</x:v>
      </x:c>
      <x:c r="K86" s="100" t="str">
        <x:v>索引级</x:v>
      </x:c>
      <x:c r="L86" s="104" t="str">
        <x:v>AI</x:v>
      </x:c>
      <x:c r="M86" s="104" t="str"/>
    </x:row>
    <x:row r="87" ht="48" customHeight="1">
      <x:c r="A87" s="100" t="str">
        <x:v>QH-P-000100</x:v>
      </x:c>
      <x:c r="B87" s="100" t="str">
        <x:v>83</x:v>
      </x:c>
      <x:c r="C87" s="100" t="str">
        <x:v>外戚大臣政治网络</x:v>
      </x:c>
      <x:c r="D87" s="100" t="str">
        <x:v>王熙</x:v>
      </x:c>
      <x:c r="E87" s="100" t="str">
        <x:v>王子雍；文靖</x:v>
      </x:c>
      <x:c r="F87" s="100" t="str">
        <x:v>大臣</x:v>
      </x:c>
      <x:c r="G87" s="100" t="str">
        <x:v>P1</x:v>
      </x:c>
      <x:c r="H87" s="100" t="str">
        <x:v>康熙朝大学士，遗诏受命者之一</x:v>
      </x:c>
      <x:c r="I87" s="100" t="str">
        <x:v>本库尚未拆此人的原子主张</x:v>
      </x:c>
      <x:c r="J87" s="100" t="str">
        <x:v>《清史稿》卷250</x:v>
      </x:c>
      <x:c r="K87" s="100" t="str">
        <x:v>索引级</x:v>
      </x:c>
      <x:c r="L87" s="104" t="str">
        <x:v>AI</x:v>
      </x:c>
      <x:c r="M87" s="104" t="str"/>
    </x:row>
    <x:row r="88" ht="48" customHeight="1">
      <x:c r="A88" s="100" t="str">
        <x:v>QH-P-000101</x:v>
      </x:c>
      <x:c r="B88" s="100" t="str">
        <x:v>84</x:v>
      </x:c>
      <x:c r="C88" s="100" t="str">
        <x:v>外戚大臣政治网络</x:v>
      </x:c>
      <x:c r="D88" s="100" t="str">
        <x:v>高士奇</x:v>
      </x:c>
      <x:c r="E88" s="100" t="str">
        <x:v>高澹人；文恪</x:v>
      </x:c>
      <x:c r="F88" s="100" t="str">
        <x:v>近臣</x:v>
      </x:c>
      <x:c r="G88" s="100" t="str">
        <x:v>P1</x:v>
      </x:c>
      <x:c r="H88" s="100" t="str">
        <x:v>南书房，深得康熙信任</x:v>
      </x:c>
      <x:c r="I88" s="100" t="str">
        <x:v>本库尚未拆此人的原子主张</x:v>
      </x:c>
      <x:c r="J88" s="100" t="str">
        <x:v>《清史稿》卷271</x:v>
      </x:c>
      <x:c r="K88" s="100" t="str">
        <x:v>索引级</x:v>
      </x:c>
      <x:c r="L88" s="104" t="str">
        <x:v>AI</x:v>
      </x:c>
      <x:c r="M88" s="104" t="str"/>
    </x:row>
    <x:row r="89" ht="48" customHeight="1">
      <x:c r="A89" s="100" t="str">
        <x:v>QH-P-000102</x:v>
      </x:c>
      <x:c r="B89" s="100" t="str">
        <x:v>85</x:v>
      </x:c>
      <x:c r="C89" s="100" t="str">
        <x:v>外戚大臣政治网络</x:v>
      </x:c>
      <x:c r="D89" s="100" t="str">
        <x:v>岳钟琪</x:v>
      </x:c>
      <x:c r="E89" s="100" t="str">
        <x:v>岳东美；襄勤</x:v>
      </x:c>
      <x:c r="F89" s="100" t="str">
        <x:v>武将</x:v>
      </x:c>
      <x:c r="G89" s="100" t="str">
        <x:v>P1</x:v>
      </x:c>
      <x:c r="H89" s="100" t="str">
        <x:v>雍正朝川陕总督，年羹尧后继者</x:v>
      </x:c>
      <x:c r="I89" s="100" t="str">
        <x:v>本库尚未拆此人的原子主张</x:v>
      </x:c>
      <x:c r="J89" s="100" t="str">
        <x:v>《清史稿》卷296</x:v>
      </x:c>
      <x:c r="K89" s="100" t="str">
        <x:v>索引级</x:v>
      </x:c>
      <x:c r="L89" s="104" t="str">
        <x:v>AI</x:v>
      </x:c>
      <x:c r="M89" s="104" t="str"/>
    </x:row>
    <x:row r="90" ht="48" customHeight="1">
      <x:c r="A90" s="100" t="str">
        <x:v>QH-P-000103</x:v>
      </x:c>
      <x:c r="B90" s="100" t="str">
        <x:v>86</x:v>
      </x:c>
      <x:c r="C90" s="100" t="str">
        <x:v>外戚大臣政治网络</x:v>
      </x:c>
      <x:c r="D90" s="100" t="str">
        <x:v>鄂尔泰</x:v>
      </x:c>
      <x:c r="E90" s="100" t="str">
        <x:v>鄂毅庵；文端</x:v>
      </x:c>
      <x:c r="F90" s="100" t="str">
        <x:v>大臣</x:v>
      </x:c>
      <x:c r="G90" s="100" t="str">
        <x:v>P1</x:v>
      </x:c>
      <x:c r="H90" s="100" t="str">
        <x:v>雍正朝大学士，军机大臣</x:v>
      </x:c>
      <x:c r="I90" s="100" t="str">
        <x:v>本库尚未拆此人的原子主张</x:v>
      </x:c>
      <x:c r="J90" s="100" t="str">
        <x:v>《清史稿》卷288</x:v>
      </x:c>
      <x:c r="K90" s="100" t="str">
        <x:v>索引级</x:v>
      </x:c>
      <x:c r="L90" s="104" t="str">
        <x:v>AI</x:v>
      </x:c>
      <x:c r="M90" s="104" t="str"/>
    </x:row>
    <x:row r="91" ht="48" customHeight="1">
      <x:c r="A91" s="100" t="str">
        <x:v>QH-P-000104</x:v>
      </x:c>
      <x:c r="B91" s="100" t="str">
        <x:v>87</x:v>
      </x:c>
      <x:c r="C91" s="100" t="str">
        <x:v>皇帝皇子皇孙公主</x:v>
      </x:c>
      <x:c r="D91" s="100" t="str">
        <x:v>圣祖第一女（未封）</x:v>
      </x:c>
      <x:c r="E91" s="100" t="str">
        <x:v>庶妃张氏所出</x:v>
      </x:c>
      <x:c r="F91" s="100" t="str">
        <x:v>皇女</x:v>
      </x:c>
      <x:c r="G91" s="100" t="str">
        <x:v>P2</x:v>
      </x:c>
      <x:c r="H91" s="100" t="str">
        <x:v>补全卷166第一女</x:v>
      </x:c>
      <x:c r="I91" s="100" t="str">
        <x:v>未封早殇。庶妃张氏尚未建档。</x:v>
      </x:c>
      <x:c r="J91" s="100" t="str">
        <x:v>《清史稿》卷166</x:v>
      </x:c>
      <x:c r="K91" s="100" t="str">
        <x:v>待取证</x:v>
      </x:c>
      <x:c r="L91" s="104" t="str"/>
      <x:c r="M91" s="104" t="str">
        <x:v>来自《清史稿》卷166。玉牒未见。</x:v>
      </x:c>
    </x:row>
    <x:row r="92" ht="48" customHeight="1">
      <x:c r="A92" s="100" t="str">
        <x:v>QH-P-000105</x:v>
      </x:c>
      <x:c r="B92" s="100" t="str">
        <x:v>88</x:v>
      </x:c>
      <x:c r="C92" s="100" t="str">
        <x:v>皇帝皇子皇孙公主</x:v>
      </x:c>
      <x:c r="D92" s="100" t="str">
        <x:v>圣祖第二女（未封）</x:v>
      </x:c>
      <x:c r="E92" s="100" t="str">
        <x:v>端嫔董氏所出</x:v>
      </x:c>
      <x:c r="F92" s="100" t="str">
        <x:v>皇女</x:v>
      </x:c>
      <x:c r="G92" s="100" t="str">
        <x:v>P2</x:v>
      </x:c>
      <x:c r="H92" s="100" t="str">
        <x:v>补全卷166第二女</x:v>
      </x:c>
      <x:c r="I92" s="100" t="str">
        <x:v>未封早殇。端嫔董氏尚未建档。</x:v>
      </x:c>
      <x:c r="J92" s="100" t="str">
        <x:v>《清史稿》卷166</x:v>
      </x:c>
      <x:c r="K92" s="100" t="str">
        <x:v>待取证</x:v>
      </x:c>
      <x:c r="L92" s="104" t="str"/>
      <x:c r="M92" s="104" t="str">
        <x:v>来自《清史稿》卷166。玉牒未见。</x:v>
      </x:c>
    </x:row>
    <x:row r="93" ht="48" customHeight="1">
      <x:c r="A93" s="100" t="str">
        <x:v>QH-P-000106</x:v>
      </x:c>
      <x:c r="B93" s="100" t="str">
        <x:v>89</x:v>
      </x:c>
      <x:c r="C93" s="100" t="str">
        <x:v>皇帝皇子皇孙公主</x:v>
      </x:c>
      <x:c r="D93" s="100" t="str">
        <x:v>圣祖第四女（未封）</x:v>
      </x:c>
      <x:c r="E93" s="100" t="str">
        <x:v>庶妃张氏所出</x:v>
      </x:c>
      <x:c r="F93" s="100" t="str">
        <x:v>皇女</x:v>
      </x:c>
      <x:c r="G93" s="100" t="str">
        <x:v>P2</x:v>
      </x:c>
      <x:c r="H93" s="100" t="str">
        <x:v>补全卷166第四女</x:v>
      </x:c>
      <x:c r="I93" s="100" t="str">
        <x:v>与第一女同母候选，不合并。</x:v>
      </x:c>
      <x:c r="J93" s="100" t="str">
        <x:v>《清史稿》卷166</x:v>
      </x:c>
      <x:c r="K93" s="100" t="str">
        <x:v>待取证</x:v>
      </x:c>
      <x:c r="L93" s="104" t="str"/>
      <x:c r="M93" s="104" t="str">
        <x:v>来自《清史稿》卷166。玉牒未见。</x:v>
      </x:c>
    </x:row>
    <x:row r="94" ht="48" customHeight="1">
      <x:c r="A94" s="100" t="str">
        <x:v>QH-P-000107</x:v>
      </x:c>
      <x:c r="B94" s="100" t="str">
        <x:v>90</x:v>
      </x:c>
      <x:c r="C94" s="100" t="str">
        <x:v>皇帝皇子皇孙公主</x:v>
      </x:c>
      <x:c r="D94" s="100" t="str">
        <x:v>爱新觉罗氏端静公主</x:v>
      </x:c>
      <x:c r="E94" s="100" t="str">
        <x:v>皇五女；和硕端静公主</x:v>
      </x:c>
      <x:c r="F94" s="100" t="str">
        <x:v>公主</x:v>
      </x:c>
      <x:c r="G94" s="100" t="str">
        <x:v>P1</x:v>
      </x:c>
      <x:c r="H94" s="100" t="str">
        <x:v>康熙朝受封公主</x:v>
      </x:c>
      <x:c r="I94" s="100" t="str">
        <x:v>本表未记进固伦。贵人兆佳氏、额驸噶尔臧尚未建档。</x:v>
      </x:c>
      <x:c r="J94" s="100" t="str">
        <x:v>《清史稿》卷166</x:v>
      </x:c>
      <x:c r="K94" s="100" t="str">
        <x:v>待取证</x:v>
      </x:c>
      <x:c r="L94" s="104" t="str"/>
      <x:c r="M94" s="104" t="str">
        <x:v>来自《清史稿》卷166。玉牒未见。</x:v>
      </x:c>
    </x:row>
    <x:row r="95" ht="48" customHeight="1">
      <x:c r="A95" s="100" t="str">
        <x:v>QH-P-000108</x:v>
      </x:c>
      <x:c r="B95" s="100" t="str">
        <x:v>91</x:v>
      </x:c>
      <x:c r="C95" s="100" t="str">
        <x:v>皇帝皇子皇孙公主</x:v>
      </x:c>
      <x:c r="D95" s="100" t="str">
        <x:v>爱新觉罗氏恪靖公主</x:v>
      </x:c>
      <x:c r="E95" s="100" t="str">
        <x:v>皇六女；和硕恪靖公主；固伦恪靖公主</x:v>
      </x:c>
      <x:c r="F95" s="100" t="str">
        <x:v>公主</x:v>
      </x:c>
      <x:c r="G95" s="100" t="str">
        <x:v>P1</x:v>
      </x:c>
      <x:c r="H95" s="100" t="str">
        <x:v>康熙朝受封、雍正进固伦</x:v>
      </x:c>
      <x:c r="I95" s="100" t="str">
        <x:v>贵人郭络罗氏不得与宜妃自动合并。固伦是雍正元年进封。</x:v>
      </x:c>
      <x:c r="J95" s="100" t="str">
        <x:v>《清史稿》卷166</x:v>
      </x:c>
      <x:c r="K95" s="100" t="str">
        <x:v>待取证</x:v>
      </x:c>
      <x:c r="L95" s="104" t="str"/>
      <x:c r="M95" s="104" t="str">
        <x:v>来自《清史稿》卷166。玉牒未见。</x:v>
      </x:c>
    </x:row>
    <x:row r="96" ht="48" customHeight="1">
      <x:c r="A96" s="100" t="str">
        <x:v>QH-P-000109</x:v>
      </x:c>
      <x:c r="B96" s="100" t="str">
        <x:v>92</x:v>
      </x:c>
      <x:c r="C96" s="100" t="str">
        <x:v>皇帝皇子皇孙公主</x:v>
      </x:c>
      <x:c r="D96" s="100" t="str">
        <x:v>圣祖第七女（未封）</x:v>
      </x:c>
      <x:c r="E96" s="100" t="str">
        <x:v>孝恭所出皇女</x:v>
      </x:c>
      <x:c r="F96" s="100" t="str">
        <x:v>皇女</x:v>
      </x:c>
      <x:c r="G96" s="100" t="str">
        <x:v>P1</x:v>
      </x:c>
      <x:c r="H96" s="100" t="str">
        <x:v>孝恭所出未封女</x:v>
      </x:c>
      <x:c r="I96" s="100" t="str">
        <x:v>六月生八月殇。当时生母是德妃。</x:v>
      </x:c>
      <x:c r="J96" s="100" t="str">
        <x:v>《清史稿》卷166</x:v>
      </x:c>
      <x:c r="K96" s="100" t="str">
        <x:v>待取证</x:v>
      </x:c>
      <x:c r="L96" s="104" t="str"/>
      <x:c r="M96" s="104" t="str">
        <x:v>来自《清史稿》卷166。玉牒未见。</x:v>
      </x:c>
    </x:row>
    <x:row r="97" ht="48" customHeight="1">
      <x:c r="A97" s="100" t="str">
        <x:v>QH-P-000110</x:v>
      </x:c>
      <x:c r="B97" s="100" t="str">
        <x:v>93</x:v>
      </x:c>
      <x:c r="C97" s="100" t="str">
        <x:v>皇帝皇子皇孙公主</x:v>
      </x:c>
      <x:c r="D97" s="100" t="str">
        <x:v>圣祖第八女（未封）</x:v>
      </x:c>
      <x:c r="E97" s="100" t="str">
        <x:v>孝懿所出皇女</x:v>
      </x:c>
      <x:c r="F97" s="100" t="str">
        <x:v>皇女</x:v>
      </x:c>
      <x:c r="G97" s="100" t="str">
        <x:v>P2</x:v>
      </x:c>
      <x:c r="H97" s="100" t="str">
        <x:v>孝懿所出未封女</x:v>
      </x:c>
      <x:c r="I97" s="100" t="str">
        <x:v>闰八月殇。生年在佟佳氏册后之前。</x:v>
      </x:c>
      <x:c r="J97" s="100" t="str">
        <x:v>《清史稿》卷166</x:v>
      </x:c>
      <x:c r="K97" s="100" t="str">
        <x:v>待取证</x:v>
      </x:c>
      <x:c r="L97" s="104" t="str"/>
      <x:c r="M97" s="104" t="str">
        <x:v>来自《清史稿》卷166。玉牒未见。</x:v>
      </x:c>
    </x:row>
    <x:row r="98" ht="48" customHeight="1">
      <x:c r="A98" s="100" t="str">
        <x:v>QH-P-000111</x:v>
      </x:c>
      <x:c r="B98" s="100" t="str">
        <x:v>94</x:v>
      </x:c>
      <x:c r="C98" s="100" t="str">
        <x:v>皇帝皇子皇孙公主</x:v>
      </x:c>
      <x:c r="D98" s="100" t="str">
        <x:v>爱新觉罗氏温宪公主</x:v>
      </x:c>
      <x:c r="E98" s="100" t="str">
        <x:v>皇九女；和硕温宪公主；固伦温宪公主</x:v>
      </x:c>
      <x:c r="F98" s="100" t="str">
        <x:v>公主</x:v>
      </x:c>
      <x:c r="G98" s="100" t="str">
        <x:v>P1</x:v>
      </x:c>
      <x:c r="H98" s="100" t="str">
        <x:v>孝恭所出受封女，额驸舜安颜</x:v>
      </x:c>
      <x:c r="I98" s="100" t="str">
        <x:v>雍正元年追进固伦。舜安颜四十八年削额驸，表文不得写成八爷党已证。</x:v>
      </x:c>
      <x:c r="J98" s="100" t="str">
        <x:v>《清史稿》卷166</x:v>
      </x:c>
      <x:c r="K98" s="100" t="str">
        <x:v>待取证</x:v>
      </x:c>
      <x:c r="L98" s="104" t="str"/>
      <x:c r="M98" s="104" t="str">
        <x:v>来自《清史稿》卷166。玉牒未见。</x:v>
      </x:c>
    </x:row>
    <x:row r="99" ht="48" customHeight="1">
      <x:c r="A99" s="100" t="str">
        <x:v>QH-P-000112</x:v>
      </x:c>
      <x:c r="B99" s="100" t="str">
        <x:v>95</x:v>
      </x:c>
      <x:c r="C99" s="100" t="str">
        <x:v>皇帝皇子皇孙公主</x:v>
      </x:c>
      <x:c r="D99" s="100" t="str">
        <x:v>爱新觉罗氏纯悫公主</x:v>
      </x:c>
      <x:c r="E99" s="100" t="str">
        <x:v>皇十女；和硕纯悫公主；固伦纯悫公主</x:v>
      </x:c>
      <x:c r="F99" s="100" t="str">
        <x:v>公主</x:v>
      </x:c>
      <x:c r="G99" s="100" t="str">
        <x:v>P1</x:v>
      </x:c>
      <x:c r="H99" s="100" t="str">
        <x:v>下嫁策棱</x:v>
      </x:c>
      <x:c r="I99" s="100" t="str">
        <x:v>通嫔纳喇氏尚未建档。策棱/策凌不自动合并。追进固伦在薨后。</x:v>
      </x:c>
      <x:c r="J99" s="100" t="str">
        <x:v>《清史稿》卷166</x:v>
      </x:c>
      <x:c r="K99" s="100" t="str">
        <x:v>待取证</x:v>
      </x:c>
      <x:c r="L99" s="104" t="str"/>
      <x:c r="M99" s="104" t="str">
        <x:v>来自《清史稿》卷166。玉牒未见。</x:v>
      </x:c>
    </x:row>
    <x:row r="100" ht="48" customHeight="1">
      <x:c r="A100" s="100" t="str">
        <x:v>QH-P-000113</x:v>
      </x:c>
      <x:c r="B100" s="100" t="str">
        <x:v>96</x:v>
      </x:c>
      <x:c r="C100" s="100" t="str">
        <x:v>皇帝皇子皇孙公主</x:v>
      </x:c>
      <x:c r="D100" s="100" t="str">
        <x:v>圣祖第十一女（未封）</x:v>
      </x:c>
      <x:c r="E100" s="100" t="str">
        <x:v>温僖贵妃所出皇女</x:v>
      </x:c>
      <x:c r="F100" s="100" t="str">
        <x:v>皇女</x:v>
      </x:c>
      <x:c r="G100" s="100" t="str">
        <x:v>P2</x:v>
      </x:c>
      <x:c r="H100" s="100" t="str">
        <x:v>补全卷166第十一女</x:v>
      </x:c>
      <x:c r="I100" s="100" t="str">
        <x:v>表文鈕枯祿氏。勿与第二十女庶妃钮祜禄氏合并。</x:v>
      </x:c>
      <x:c r="J100" s="100" t="str">
        <x:v>《清史稿》卷166</x:v>
      </x:c>
      <x:c r="K100" s="100" t="str">
        <x:v>待取证</x:v>
      </x:c>
      <x:c r="L100" s="104" t="str"/>
      <x:c r="M100" s="104" t="str">
        <x:v>来自《清史稿》卷166。玉牒未见。</x:v>
      </x:c>
    </x:row>
    <x:row r="101" ht="48" customHeight="1">
      <x:c r="A101" s="100" t="str">
        <x:v>QH-P-000114</x:v>
      </x:c>
      <x:c r="B101" s="100" t="str">
        <x:v>97</x:v>
      </x:c>
      <x:c r="C101" s="100" t="str">
        <x:v>皇帝皇子皇孙公主</x:v>
      </x:c>
      <x:c r="D101" s="100" t="str">
        <x:v>圣祖第十二女（未封）</x:v>
      </x:c>
      <x:c r="E101" s="100" t="str">
        <x:v>孝恭所出皇女</x:v>
      </x:c>
      <x:c r="F101" s="100" t="str">
        <x:v>皇女</x:v>
      </x:c>
      <x:c r="G101" s="100" t="str">
        <x:v>P1</x:v>
      </x:c>
      <x:c r="H101" s="100" t="str">
        <x:v>孝恭所出未封而较长寿者</x:v>
      </x:c>
      <x:c r="I101" s="100" t="str">
        <x:v>约十一岁殇。当时生母是德妃。</x:v>
      </x:c>
      <x:c r="J101" s="100" t="str">
        <x:v>《清史稿》卷166</x:v>
      </x:c>
      <x:c r="K101" s="100" t="str">
        <x:v>待取证</x:v>
      </x:c>
      <x:c r="L101" s="104" t="str"/>
      <x:c r="M101" s="104" t="str">
        <x:v>来自《清史稿》卷166。玉牒未见。</x:v>
      </x:c>
    </x:row>
    <x:row r="102" ht="48" customHeight="1">
      <x:c r="A102" s="100" t="str">
        <x:v>QH-P-000115</x:v>
      </x:c>
      <x:c r="B102" s="100" t="str">
        <x:v>98</x:v>
      </x:c>
      <x:c r="C102" s="100" t="str">
        <x:v>皇帝皇子皇孙公主</x:v>
      </x:c>
      <x:c r="D102" s="100" t="str">
        <x:v>爱新觉罗氏温恪公主</x:v>
      </x:c>
      <x:c r="E102" s="100" t="str">
        <x:v>皇十三女；和硕温恪公主</x:v>
      </x:c>
      <x:c r="F102" s="100" t="str">
        <x:v>公主</x:v>
      </x:c>
      <x:c r="G102" s="100" t="str">
        <x:v>P1</x:v>
      </x:c>
      <x:c r="H102" s="100" t="str">
        <x:v>敬敏所出，额驸仓津</x:v>
      </x:c>
      <x:c r="I102" s="100" t="str">
        <x:v>仓津初名班第，与纯禧额驸班第分人。</x:v>
      </x:c>
      <x:c r="J102" s="100" t="str">
        <x:v>《清史稿》卷166</x:v>
      </x:c>
      <x:c r="K102" s="100" t="str">
        <x:v>待取证</x:v>
      </x:c>
      <x:c r="L102" s="104" t="str"/>
      <x:c r="M102" s="104" t="str">
        <x:v>来自《清史稿》卷166。玉牒未见。</x:v>
      </x:c>
    </x:row>
    <x:row r="103" ht="48" customHeight="1">
      <x:c r="A103" s="100" t="str">
        <x:v>QH-P-000116</x:v>
      </x:c>
      <x:c r="B103" s="100" t="str">
        <x:v>99</x:v>
      </x:c>
      <x:c r="C103" s="100" t="str">
        <x:v>皇帝皇子皇孙公主</x:v>
      </x:c>
      <x:c r="D103" s="100" t="str">
        <x:v>爱新觉罗氏悫靖公主</x:v>
      </x:c>
      <x:c r="E103" s="100" t="str">
        <x:v>皇十四女；和硕悫靖公主</x:v>
      </x:c>
      <x:c r="F103" s="100" t="str">
        <x:v>公主</x:v>
      </x:c>
      <x:c r="G103" s="100" t="str">
        <x:v>P1</x:v>
      </x:c>
      <x:c r="H103" s="100" t="str">
        <x:v>额驸为汉人孙承运</x:v>
      </x:c>
      <x:c r="I103" s="100" t="str">
        <x:v>下嫁只到年。贵人袁氏尚未建档。</x:v>
      </x:c>
      <x:c r="J103" s="100" t="str">
        <x:v>《清史稿》卷166</x:v>
      </x:c>
      <x:c r="K103" s="100" t="str">
        <x:v>待取证</x:v>
      </x:c>
      <x:c r="L103" s="104" t="str"/>
      <x:c r="M103" s="104" t="str">
        <x:v>来自《清史稿》卷166。玉牒未见。</x:v>
      </x:c>
    </x:row>
    <x:row r="104" ht="48" customHeight="1">
      <x:c r="A104" s="100" t="str">
        <x:v>QH-P-000117</x:v>
      </x:c>
      <x:c r="B104" s="100" t="str">
        <x:v>100</x:v>
      </x:c>
      <x:c r="C104" s="100" t="str">
        <x:v>皇帝皇子皇孙公主</x:v>
      </x:c>
      <x:c r="D104" s="100" t="str">
        <x:v>爱新觉罗氏敦恪公主</x:v>
      </x:c>
      <x:c r="E104" s="100" t="str">
        <x:v>皇十五女；和硕敦恪公主</x:v>
      </x:c>
      <x:c r="F104" s="100" t="str">
        <x:v>公主</x:v>
      </x:c>
      <x:c r="G104" s="100" t="str">
        <x:v>P1</x:v>
      </x:c>
      <x:c r="H104" s="100" t="str">
        <x:v>敬敏所出</x:v>
      </x:c>
      <x:c r="I104" s="100" t="str">
        <x:v>与温恪同母。额驸多尔济尚未建档。</x:v>
      </x:c>
      <x:c r="J104" s="100" t="str">
        <x:v>《清史稿》卷166</x:v>
      </x:c>
      <x:c r="K104" s="100" t="str">
        <x:v>待取证</x:v>
      </x:c>
      <x:c r="L104" s="104" t="str"/>
      <x:c r="M104" s="104" t="str">
        <x:v>来自《清史稿》卷166。玉牒未见。</x:v>
      </x:c>
    </x:row>
    <x:row r="105" ht="48" customHeight="1">
      <x:c r="A105" s="100" t="str">
        <x:v>QH-P-000118</x:v>
      </x:c>
      <x:c r="B105" s="100" t="str">
        <x:v>101</x:v>
      </x:c>
      <x:c r="C105" s="100" t="str">
        <x:v>皇帝皇子皇孙公主</x:v>
      </x:c>
      <x:c r="D105" s="100" t="str">
        <x:v>圣祖第十六女（未封）</x:v>
      </x:c>
      <x:c r="E105" s="100" t="str">
        <x:v>庶妃王氏所出</x:v>
      </x:c>
      <x:c r="F105" s="100" t="str">
        <x:v>皇女</x:v>
      </x:c>
      <x:c r="G105" s="100" t="str">
        <x:v>P2</x:v>
      </x:c>
      <x:c r="H105" s="100" t="str">
        <x:v>补全卷166第十六女</x:v>
      </x:c>
      <x:c r="I105" s="100" t="str">
        <x:v>庶妃王氏不得与密妃王氏自动合并。</x:v>
      </x:c>
      <x:c r="J105" s="100" t="str">
        <x:v>《清史稿》卷166</x:v>
      </x:c>
      <x:c r="K105" s="100" t="str">
        <x:v>待取证</x:v>
      </x:c>
      <x:c r="L105" s="104" t="str"/>
      <x:c r="M105" s="104" t="str">
        <x:v>来自《清史稿》卷166。玉牒未见。</x:v>
      </x:c>
    </x:row>
    <x:row r="106" ht="48" customHeight="1">
      <x:c r="A106" s="100" t="str">
        <x:v>QH-P-000119</x:v>
      </x:c>
      <x:c r="B106" s="100" t="str">
        <x:v>102</x:v>
      </x:c>
      <x:c r="C106" s="100" t="str">
        <x:v>皇帝皇子皇孙公主</x:v>
      </x:c>
      <x:c r="D106" s="100" t="str">
        <x:v>圣祖第十七女（未封）</x:v>
      </x:c>
      <x:c r="E106" s="100" t="str">
        <x:v>庶妃刘氏所出</x:v>
      </x:c>
      <x:c r="F106" s="100" t="str">
        <x:v>皇女</x:v>
      </x:c>
      <x:c r="G106" s="100" t="str">
        <x:v>P2</x:v>
      </x:c>
      <x:c r="H106" s="100" t="str">
        <x:v>补全卷166第十七女</x:v>
      </x:c>
      <x:c r="I106" s="100" t="str">
        <x:v>未封早殇。</x:v>
      </x:c>
      <x:c r="J106" s="100" t="str">
        <x:v>《清史稿》卷166</x:v>
      </x:c>
      <x:c r="K106" s="100" t="str">
        <x:v>待取证</x:v>
      </x:c>
      <x:c r="L106" s="104" t="str"/>
      <x:c r="M106" s="104" t="str">
        <x:v>来自《清史稿》卷166。玉牒未见。</x:v>
      </x:c>
    </x:row>
    <x:row r="107" ht="48" customHeight="1">
      <x:c r="A107" s="100" t="str">
        <x:v>QH-P-000120</x:v>
      </x:c>
      <x:c r="B107" s="100" t="str">
        <x:v>103</x:v>
      </x:c>
      <x:c r="C107" s="100" t="str">
        <x:v>皇帝皇子皇孙公主</x:v>
      </x:c>
      <x:c r="D107" s="100" t="str">
        <x:v>圣祖第十八女（未封）</x:v>
      </x:c>
      <x:c r="E107" s="100" t="str">
        <x:v>惇怡皇贵妃所出</x:v>
      </x:c>
      <x:c r="F107" s="100" t="str">
        <x:v>皇女</x:v>
      </x:c>
      <x:c r="G107" s="100" t="str">
        <x:v>P2</x:v>
      </x:c>
      <x:c r="H107" s="100" t="str">
        <x:v>补全卷166第十八女</x:v>
      </x:c>
      <x:c r="I107" s="100" t="str">
        <x:v>尋殤。惇怡是后来谥号。</x:v>
      </x:c>
      <x:c r="J107" s="100" t="str">
        <x:v>《清史稿》卷166</x:v>
      </x:c>
      <x:c r="K107" s="100" t="str">
        <x:v>待取证</x:v>
      </x:c>
      <x:c r="L107" s="104" t="str"/>
      <x:c r="M107" s="104" t="str">
        <x:v>来自《清史稿》卷166。玉牒未见。</x:v>
      </x:c>
    </x:row>
    <x:row r="108" ht="48" customHeight="1">
      <x:c r="A108" s="100" t="str">
        <x:v>QH-P-000121</x:v>
      </x:c>
      <x:c r="B108" s="100" t="str">
        <x:v>104</x:v>
      </x:c>
      <x:c r="C108" s="100" t="str">
        <x:v>皇帝皇子皇孙公主</x:v>
      </x:c>
      <x:c r="D108" s="100" t="str">
        <x:v>圣祖第十九女（未封）</x:v>
      </x:c>
      <x:c r="E108" s="100" t="str">
        <x:v>襄嫔高氏所出</x:v>
      </x:c>
      <x:c r="F108" s="100" t="str">
        <x:v>皇女</x:v>
      </x:c>
      <x:c r="G108" s="100" t="str">
        <x:v>P2</x:v>
      </x:c>
      <x:c r="H108" s="100" t="str">
        <x:v>补全卷166第十九女</x:v>
      </x:c>
      <x:c r="I108" s="100" t="str">
        <x:v>襄嫔高氏尚未建档。</x:v>
      </x:c>
      <x:c r="J108" s="100" t="str">
        <x:v>《清史稿》卷166</x:v>
      </x:c>
      <x:c r="K108" s="100" t="str">
        <x:v>待取证</x:v>
      </x:c>
      <x:c r="L108" s="104" t="str"/>
      <x:c r="M108" s="104" t="str">
        <x:v>来自《清史稿》卷166。玉牒未见。</x:v>
      </x:c>
    </x:row>
    <x:row r="109" ht="48" customHeight="1">
      <x:c r="A109" s="100" t="str">
        <x:v>QH-P-000122</x:v>
      </x:c>
      <x:c r="B109" s="100" t="str">
        <x:v>105</x:v>
      </x:c>
      <x:c r="C109" s="100" t="str">
        <x:v>皇帝皇子皇孙公主</x:v>
      </x:c>
      <x:c r="D109" s="100" t="str">
        <x:v>圣祖第二十女（未封）</x:v>
      </x:c>
      <x:c r="E109" s="100" t="str">
        <x:v>庶妃钮祜禄氏所出</x:v>
      </x:c>
      <x:c r="F109" s="100" t="str">
        <x:v>皇女</x:v>
      </x:c>
      <x:c r="G109" s="100" t="str">
        <x:v>P2</x:v>
      </x:c>
      <x:c r="H109" s="100" t="str">
        <x:v>补全卷166第二十女</x:v>
      </x:c>
      <x:c r="I109" s="100" t="str">
        <x:v>勿与温僖贵妃合并。十一月生十二月殇。</x:v>
      </x:c>
      <x:c r="J109" s="100" t="str">
        <x:v>《清史稿》卷166</x:v>
      </x:c>
      <x:c r="K109" s="100" t="str">
        <x:v>待取证</x:v>
      </x:c>
      <x:c r="L109" s="104" t="str"/>
      <x:c r="M109" s="104" t="str">
        <x:v>来自《清史稿》卷166。玉牒未见。</x:v>
      </x:c>
    </x:row>
    <x:row r="110" ht="48" customHeight="1">
      <x:c r="A110" s="100" t="str">
        <x:v>QH-P-000123</x:v>
      </x:c>
      <x:c r="B110" s="100" t="str">
        <x:v>106</x:v>
      </x:c>
      <x:c r="C110" s="100" t="str">
        <x:v>皇帝皇子皇孙公主</x:v>
      </x:c>
      <x:c r="D110" s="100" t="str">
        <x:v>爱新觉罗氏纯禧公主</x:v>
      </x:c>
      <x:c r="E110" s="100" t="str">
        <x:v>和硕纯禧公主；固伦纯禧公主；常宁第一女</x:v>
      </x:c>
      <x:c r="F110" s="100" t="str">
        <x:v>公主</x:v>
      </x:c>
      <x:c r="G110" s="100" t="str">
        <x:v>P1</x:v>
      </x:c>
      <x:c r="H110" s="100" t="str">
        <x:v>康熙抚育女，测试抚育与亲生分栏</x:v>
      </x:c>
      <x:c r="I110" s="100" t="str">
        <x:v>常宁之女，不是圣祖亲生。额驸班第与仓津初名班第分人。</x:v>
      </x:c>
      <x:c r="J110" s="100" t="str">
        <x:v>《清史稿》卷166</x:v>
      </x:c>
      <x:c r="K110" s="100" t="str">
        <x:v>待取证</x:v>
      </x:c>
      <x:c r="L110" s="104" t="str"/>
      <x:c r="M110" s="104" t="str">
        <x:v>来自《清史稿》卷166。玉牒未见。</x:v>
      </x:c>
    </x:row>
    <x:row r="111" ht="48" customHeight="1">
      <x:c r="A111" s="100" t="str">
        <x:v>QH-P-000124</x:v>
      </x:c>
      <x:c r="B111" s="100" t="str">
        <x:v>107</x:v>
      </x:c>
      <x:c r="C111" s="100" t="str">
        <x:v>大臣外戚僧道</x:v>
      </x:c>
      <x:c r="D111" s="100" t="str">
        <x:v>钮祜禄·和珅</x:v>
      </x:c>
      <x:c r="E111" s="100" t="str">
        <x:v>和珅；字致斋</x:v>
      </x:c>
      <x:c r="F111" s="100" t="str">
        <x:v>大臣</x:v>
      </x:c>
      <x:c r="G111" s="100" t="str">
        <x:v>P0</x:v>
      </x:c>
      <x:c r="H111" s="100" t="str">
        <x:v>乾隆晚年—嘉庆亲政权力交接核心人物</x:v>
      </x:c>
      <x:c r="I111" s="100" t="str">
        <x:v>任官链；二十大罪逐款事实基础；抄家财产清单；赐死程序</x:v>
      </x:c>
      <x:c r="J111" s="100" t="str">
        <x:v>《清史稿》卷319；《仁宗睿皇帝实录》嘉庆四年正月；内务府抄家档</x:v>
      </x:c>
      <x:c r="K111" s="100" t="str">
        <x:v>进入取证</x:v>
      </x:c>
      <x:c r="L111" s="104" t="str"/>
      <x:c r="M111" s="104" t="str">
        <x:v>卷319维基文库页标50%文本质量；不得把上谕罪状或八亿两传说直接写成档案事实。</x:v>
      </x:c>
    </x:row>
    <x:row r="112" ht="48" customHeight="1">
      <x:c r="A112" s="100" t="str">
        <x:v>QH-P-000051</x:v>
      </x:c>
      <x:c r="B112" s="100" t="str">
        <x:v>108</x:v>
      </x:c>
      <x:c r="C112" s="100" t="str">
        <x:v>皇帝皇子皇孙公主</x:v>
      </x:c>
      <x:c r="D112" s="100" t="str">
        <x:v>爱新觉罗·努尔哈赤</x:v>
      </x:c>
      <x:c r="E112" s="100" t="str">
        <x:v>清太祖；天命汗</x:v>
      </x:c>
      <x:c r="F112" s="100" t="str">
        <x:v>后金汗及追尊皇帝</x:v>
      </x:c>
      <x:c r="G112" s="100" t="str">
        <x:v>P0</x:v>
      </x:c>
      <x:c r="H112" s="100" t="str">
        <x:v>补齐十二帝权威人物主表并承接展示ID QH-E-01</x:v>
      </x:c>
      <x:c r="I112" s="100" t="str">
        <x:v>1583起兵身份；1616称汗与国号；1626崩逝日期地点死因；生前称号与后世追尊必须分时态</x:v>
      </x:c>
      <x:c r="J112" s="100" t="str">
        <x:v>《太祖高皇帝实录》；《满洲实录》；《清史稿》卷1；玉牒及宗室谱牒</x:v>
      </x:c>
      <x:c r="K112" s="100" t="str">
        <x:v>待取证</x:v>
      </x:c>
      <x:c r="L112" s="104" t="str"/>
      <x:c r="M112" s="104" t="str">
        <x:v>由entity-id-crosswalk映射补入；QH-E仅作展示兼容ID。</x:v>
      </x:c>
    </x:row>
    <x:row r="113" ht="48" customHeight="1">
      <x:c r="A113" s="100" t="str">
        <x:v>QH-P-000052</x:v>
      </x:c>
      <x:c r="B113" s="100" t="str">
        <x:v>109</x:v>
      </x:c>
      <x:c r="C113" s="100" t="str">
        <x:v>皇帝皇子皇孙公主</x:v>
      </x:c>
      <x:c r="D113" s="100" t="str">
        <x:v>爱新觉罗·皇太极</x:v>
      </x:c>
      <x:c r="E113" s="100" t="str">
        <x:v>清太宗；天聪汗；崇德帝</x:v>
      </x:c>
      <x:c r="F113" s="100" t="str">
        <x:v>后金汗及清帝</x:v>
      </x:c>
      <x:c r="G113" s="100" t="str">
        <x:v>P0</x:v>
      </x:c>
      <x:c r="H113" s="100" t="str">
        <x:v>补齐十二帝权威人物主表并承接展示ID QH-E-02</x:v>
      </x:c>
      <x:c r="I113" s="100" t="str">
        <x:v>1626继汗位程序；1636称帝改国号；1631六部与1636内三院须分期；两次征朝鲜须分期；1643崩逝原因</x:v>
      </x:c>
      <x:c r="J113" s="100" t="str">
        <x:v>《太宗文皇帝实录》；《满洲实录》；《清史稿》卷2—3；玉牒及宗室谱牒</x:v>
      </x:c>
      <x:c r="K113" s="100" t="str">
        <x:v>待取证</x:v>
      </x:c>
      <x:c r="L113" s="104" t="str"/>
      <x:c r="M113" s="104" t="str">
        <x:v>由entity-id-crosswalk映射补入；汗位与帝位不得压成同一称号。</x:v>
      </x:c>
    </x:row>
    <x:row r="114" ht="48" customHeight="1">
      <x:c r="A114" s="100" t="str">
        <x:v>QH-P-000053</x:v>
      </x:c>
      <x:c r="B114" s="100" t="str">
        <x:v>110</x:v>
      </x:c>
      <x:c r="C114" s="100" t="str">
        <x:v>皇帝皇子皇孙公主</x:v>
      </x:c>
      <x:c r="D114" s="100" t="str">
        <x:v>爱新觉罗·福临</x:v>
      </x:c>
      <x:c r="E114" s="100" t="str">
        <x:v>顺治帝；清世祖</x:v>
      </x:c>
      <x:c r="F114" s="100" t="str">
        <x:v>皇帝</x:v>
      </x:c>
      <x:c r="G114" s="100" t="str">
        <x:v>P0</x:v>
      </x:c>
      <x:c r="H114" s="100" t="str">
        <x:v>补齐十二帝权威人物主表并承接展示ID QH-E-03</x:v>
      </x:c>
      <x:c r="I114" s="100" t="str">
        <x:v>1643盛京即位与辅政安排；1644改元入关和北京再次登极；亲政时间；遗诏与崩逝；出家说证据边界</x:v>
      </x:c>
      <x:c r="J114" s="100" t="str">
        <x:v>《世祖章皇帝实录》；《清史稿》卷4—5；玉牒；顺治遗诏相关档案</x:v>
      </x:c>
      <x:c r="K114" s="100" t="str">
        <x:v>待取证</x:v>
      </x:c>
      <x:c r="L114" s="104" t="str"/>
      <x:c r="M114" s="104" t="str">
        <x:v>由entity-id-crosswalk映射补入；1643即位与1644改元入关必须分开。</x:v>
      </x:c>
    </x:row>
    <x:row r="115" ht="48" customHeight="1">
      <x:c r="A115" s="100" t="str">
        <x:v>QH-P-000054</x:v>
      </x:c>
      <x:c r="B115" s="100" t="str">
        <x:v>111</x:v>
      </x:c>
      <x:c r="C115" s="100" t="str">
        <x:v>皇帝皇子皇孙公主</x:v>
      </x:c>
      <x:c r="D115" s="100" t="str">
        <x:v>爱新觉罗·颙琰</x:v>
      </x:c>
      <x:c r="E115" s="100" t="str">
        <x:v>嘉庆帝；仁宗；永琰</x:v>
      </x:c>
      <x:c r="F115" s="100" t="str">
        <x:v>皇帝</x:v>
      </x:c>
      <x:c r="G115" s="100" t="str">
        <x:v>P0</x:v>
      </x:c>
      <x:c r="H115" s="100" t="str">
        <x:v>补齐十二帝权威人物主表并承接展示ID QH-E-07</x:v>
      </x:c>
      <x:c r="I115" s="100" t="str">
        <x:v>永琰改颙琰时点；1796受内禅与太上皇训政边界；1799亲政；崩逝地点日期；皇子序</x:v>
      </x:c>
      <x:c r="J115" s="100" t="str">
        <x:v>《仁宗睿皇帝实录》；《清史稿》卷16；玉牒；内禅与训政档案</x:v>
      </x:c>
      <x:c r="K115" s="100" t="str">
        <x:v>进入取证</x:v>
      </x:c>
      <x:c r="L115" s="104" t="str"/>
      <x:c r="M115" s="104" t="str">
        <x:v>由entity-id-crosswalk映射补入；1796即位不等于同日取得全部实际决策权。</x:v>
      </x:c>
    </x:row>
    <x:row r="116" ht="48" customHeight="1">
      <x:c r="A116" s="100" t="str">
        <x:v>QH-P-000055</x:v>
      </x:c>
      <x:c r="B116" s="100" t="str">
        <x:v>112</x:v>
      </x:c>
      <x:c r="C116" s="100" t="str">
        <x:v>皇帝皇子皇孙公主</x:v>
      </x:c>
      <x:c r="D116" s="100" t="str">
        <x:v>爱新觉罗·旻宁</x:v>
      </x:c>
      <x:c r="E116" s="100" t="str">
        <x:v>道光帝；宣宗；绵宁</x:v>
      </x:c>
      <x:c r="F116" s="100" t="str">
        <x:v>皇帝</x:v>
      </x:c>
      <x:c r="G116" s="100" t="str">
        <x:v>P0</x:v>
      </x:c>
      <x:c r="H116" s="100" t="str">
        <x:v>补齐十二帝权威人物主表并承接展示ID QH-E-08</x:v>
      </x:c>
      <x:c r="I116" s="100" t="str">
        <x:v>绵宁改旻宁时点；即位程序；禁烟政策变化；战争与和约决策链；1850崩逝与继承</x:v>
      </x:c>
      <x:c r="J116" s="100" t="str">
        <x:v>《宣宗成皇帝实录》；《清史稿》卷17—19；玉牒；军机处与宫中档</x:v>
      </x:c>
      <x:c r="K116" s="100" t="str">
        <x:v>待取证</x:v>
      </x:c>
      <x:c r="L116" s="104" t="str"/>
      <x:c r="M116" s="104" t="str">
        <x:v>由entity-id-crosswalk映射补入；名称避讳前后形式必须分时态。</x:v>
      </x:c>
    </x:row>
    <x:row r="117" ht="48" customHeight="1">
      <x:c r="A117" s="100" t="str">
        <x:v>QH-P-000056</x:v>
      </x:c>
      <x:c r="B117" s="100" t="str">
        <x:v>113</x:v>
      </x:c>
      <x:c r="C117" s="100" t="str">
        <x:v>皇帝皇子皇孙公主</x:v>
      </x:c>
      <x:c r="D117" s="100" t="str">
        <x:v>爱新觉罗·奕詝</x:v>
      </x:c>
      <x:c r="E117" s="100" t="str">
        <x:v>咸丰帝；文宗</x:v>
      </x:c>
      <x:c r="F117" s="100" t="str">
        <x:v>皇帝</x:v>
      </x:c>
      <x:c r="G117" s="100" t="str">
        <x:v>P0</x:v>
      </x:c>
      <x:c r="H117" s="100" t="str">
        <x:v>补齐十二帝权威人物主表并承接展示ID QH-E-09</x:v>
      </x:c>
      <x:c r="I117" s="100" t="str">
        <x:v>即位竞争叙事；太平天国与第二次鸦片战争决策；避走热河；1861崩逝；赞襄政务安排与继承</x:v>
      </x:c>
      <x:c r="J117" s="100" t="str">
        <x:v>《文宗显皇帝实录》；《清史稿》卷20；玉牒；军机处与热河行在档</x:v>
      </x:c>
      <x:c r="K117" s="100" t="str">
        <x:v>待取证</x:v>
      </x:c>
      <x:c r="L117" s="104" t="str"/>
      <x:c r="M117" s="104" t="str">
        <x:v>由entity-id-crosswalk映射补入；顾命安排与后续辛酉政变必须分成事件链。</x:v>
      </x:c>
    </x:row>
    <x:row r="118" ht="48" customHeight="1">
      <x:c r="A118" s="100" t="str">
        <x:v>QH-P-000057</x:v>
      </x:c>
      <x:c r="B118" s="100" t="str">
        <x:v>114</x:v>
      </x:c>
      <x:c r="C118" s="100" t="str">
        <x:v>皇帝皇子皇孙公主</x:v>
      </x:c>
      <x:c r="D118" s="100" t="str">
        <x:v>爱新觉罗·载淳</x:v>
      </x:c>
      <x:c r="E118" s="100" t="str">
        <x:v>同治帝；穆宗；祺祥</x:v>
      </x:c>
      <x:c r="F118" s="100" t="str">
        <x:v>皇帝</x:v>
      </x:c>
      <x:c r="G118" s="100" t="str">
        <x:v>P0</x:v>
      </x:c>
      <x:c r="H118" s="100" t="str">
        <x:v>补齐十二帝权威人物主表并承接展示ID QH-E-10</x:v>
      </x:c>
      <x:c r="I118" s="100" t="str">
        <x:v>祺祥改同治程序；两宫垂帘与亲政时点；1875崩逝记录及死因异说；光绪承继的政治与礼法层</x:v>
      </x:c>
      <x:c r="J118" s="100" t="str">
        <x:v>《穆宗毅皇帝实录》；《清史稿》卷21—22；玉牒；宫中医药档</x:v>
      </x:c>
      <x:c r="K118" s="100" t="str">
        <x:v>待取证</x:v>
      </x:c>
      <x:c r="L118" s="104" t="str"/>
      <x:c r="M118" s="104" t="str">
        <x:v>由entity-id-crosswalk映射补入；官方天花记载与后出梅毒说不得混写。</x:v>
      </x:c>
    </x:row>
    <x:row r="119" ht="48" customHeight="1">
      <x:c r="A119" s="100" t="str">
        <x:v>QH-P-000058</x:v>
      </x:c>
      <x:c r="B119" s="100" t="str">
        <x:v>115</x:v>
      </x:c>
      <x:c r="C119" s="100" t="str">
        <x:v>皇帝皇子皇孙公主</x:v>
      </x:c>
      <x:c r="D119" s="100" t="str">
        <x:v>爱新觉罗·载湉</x:v>
      </x:c>
      <x:c r="E119" s="100" t="str">
        <x:v>光绪帝；德宗</x:v>
      </x:c>
      <x:c r="F119" s="100" t="str">
        <x:v>皇帝</x:v>
      </x:c>
      <x:c r="G119" s="100" t="str">
        <x:v>P0</x:v>
      </x:c>
      <x:c r="H119" s="100" t="str">
        <x:v>补齐十二帝权威人物主表并承接展示ID QH-E-11</x:v>
      </x:c>
      <x:c r="I119" s="100" t="str">
        <x:v>过继承嗣的礼法结构；亲政时点；甲午戊戌庚子新政决策链；1908砷中毒结论与下毒者未知边界</x:v>
      </x:c>
      <x:c r="J119" s="100" t="str">
        <x:v>《德宗景皇帝实录》；《清史稿》卷23—24；玉牒；宫中档与遗骸检测报告</x:v>
      </x:c>
      <x:c r="K119" s="100" t="str">
        <x:v>待取证</x:v>
      </x:c>
      <x:c r="L119" s="104" t="str"/>
      <x:c r="M119" s="104" t="str">
        <x:v>由entity-id-crosswalk映射补入；死因已证与行为人未证必须分栏。</x:v>
      </x:c>
    </x:row>
    <x:row r="120" ht="48" customHeight="1">
      <x:c r="A120" s="100" t="str">
        <x:v>QH-P-000059</x:v>
      </x:c>
      <x:c r="B120" s="100" t="str">
        <x:v>116</x:v>
      </x:c>
      <x:c r="C120" s="100" t="str">
        <x:v>皇帝皇子皇孙公主</x:v>
      </x:c>
      <x:c r="D120" s="100" t="str">
        <x:v>爱新觉罗·溥仪</x:v>
      </x:c>
      <x:c r="E120" s="100" t="str">
        <x:v>宣统帝；清末帝</x:v>
      </x:c>
      <x:c r="F120" s="100" t="str">
        <x:v>皇帝</x:v>
      </x:c>
      <x:c r="G120" s="100" t="str">
        <x:v>P0</x:v>
      </x:c>
      <x:c r="H120" s="100" t="str">
        <x:v>补齐十二帝权威人物主表并承接展示ID QH-E-12</x:v>
      </x:c>
      <x:c r="I120" s="100" t="str">
        <x:v>1908即位与1909改元；载沣摄政；1912退位诏形成；礼法兼祧；1917复辟与伪满经历不得并入清朝连续在位</x:v>
      </x:c>
      <x:c r="J120" s="100" t="str">
        <x:v>《宣统政纪》；《清史稿》卷25；玉牒；退位诏及清室优待条件档案</x:v>
      </x:c>
      <x:c r="K120" s="100" t="str">
        <x:v>待取证</x:v>
      </x:c>
      <x:c r="L120" s="104" t="str"/>
      <x:c r="M120" s="104" t="str">
        <x:v>由entity-id-crosswalk映射补入；政治前任为载湉，礼法承嗣另建关系。</x:v>
      </x:c>
    </x:row>
  </x:sheetData>
  <x:mergeCells>
    <x:mergeCell ref="A1:M1"/>
    <x:mergeCell ref="A2:M2"/>
  </x:mergeCells>
  <x:conditionalFormatting sqref="G5:G120">
    <x:cfRule type="containsText" dxfId="34" priority="1" operator="containsText" text="P0"/>
    <x:cfRule type="containsText" dxfId="35" priority="2" operator="containsText" text="P1"/>
    <x:cfRule type="containsText" dxfId="36" priority="3" operator="containsText" text="P2"/>
  </x:conditionalFormatting>
  <x:conditionalFormatting sqref="K5:K120">
    <x:cfRule type="containsText" dxfId="37" priority="4" operator="containsText" text="已完成"/>
    <x:cfRule type="containsText" dxfId="38" priority="5" operator="containsText" text="已通过"/>
    <x:cfRule type="containsText" dxfId="39" priority="6" operator="containsText" text="进行中"/>
    <x:cfRule type="containsText" dxfId="40" priority="7" operator="containsText" text="待审核"/>
    <x:cfRule type="containsText" dxfId="41" priority="8" operator="containsText" text="阻塞"/>
  </x:conditionalFormatting>
  <x:dataValidations count="2">
    <x:dataValidation type="list" sqref="G5:G120">
      <x:formula1>"P0,P1,P2,P3"</x:formula1>
    </x:dataValidation>
    <x:dataValidation type="list" sqref="K5:K120">
      <x:formula1>"待取证,取证中,待审核,已核验,阻塞"</x:formula1>
    </x:dataValidation>
  </x:dataValidations>
  <x:pageMargins left="0.7" right="0.7" top="0.75" bottom="0.75" header="0.3" footer="0.3"/>
  <x:tableParts count="1">
    <x:tablePart xmlns:r="http://schemas.openxmlformats.org/officeDocument/2006/relationships" r:id="R6b3224fa4f8a4c74"/>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3" hidden="0" customWidth="1"/>
    <x:col min="2" max="2" width="30" hidden="0" customWidth="1"/>
    <x:col min="3" max="3" width="22" hidden="0" customWidth="1"/>
    <x:col min="4" max="4" width="10" hidden="0" customWidth="1"/>
    <x:col min="5" max="5" width="38" hidden="0" customWidth="1"/>
    <x:col min="6" max="6" width="24" hidden="0" customWidth="1"/>
    <x:col min="7" max="7" width="10" hidden="0" customWidth="1"/>
    <x:col min="8" max="8" width="22" hidden="0" customWidth="1"/>
    <x:col min="9" max="9" width="24" hidden="0" customWidth="1"/>
    <x:col min="10" max="10" width="22" hidden="0" customWidth="1"/>
    <x:col min="11" max="11" width="18" hidden="0" customWidth="1"/>
    <x:col min="12" max="12" width="44" hidden="0" customWidth="1"/>
    <x:col min="13" max="13" width="46" hidden="0" customWidth="1"/>
    <x:col min="14" max="14" width="48" hidden="0" customWidth="1"/>
    <x:col min="15" max="15" width="48" hidden="0" customWidth="1"/>
    <x:col min="16" max="16" width="13" hidden="0" customWidth="1"/>
    <x:col min="17" max="17" width="38" hidden="0" customWidth="1"/>
    <x:col min="18" max="18" width="14" hidden="0" customWidth="1"/>
    <x:col min="19" max="19" width="16" hidden="0" customWidth="1"/>
  </x:cols>
  <x:sheetData>
    <x:row r="1" ht="34" customHeight="1">
      <x:c r="A1" s="3" t="str">
        <x:v>来源与版权台账</x:v>
      </x:c>
    </x:row>
    <x:row r="2" ht="24" customHeight="1">
      <x:c r="A2" s="6" t="str">
        <x:v>绿色仅表示明确纳入开放许可或已授权的对象；黄色默认只存自建元数据并外链；红色不得按计划获取或展示</x:v>
      </x:c>
    </x:row>
    <x:row r="4" ht="32" customHeight="1">
      <x:c r="A4" s="92" t="str">
        <x:v>source_id</x:v>
      </x:c>
      <x:c r="B4" s="93" t="str">
        <x:v>机构或资源</x:v>
      </x:c>
      <x:c r="C4" s="93" t="str">
        <x:v>资源类型</x:v>
      </x:c>
      <x:c r="D4" s="93" t="str">
        <x:v>证据等级</x:v>
      </x:c>
      <x:c r="E4" s="93" t="str">
        <x:v>核心内容</x:v>
      </x:c>
      <x:c r="F4" s="93" t="str">
        <x:v>访问方式</x:v>
      </x:c>
      <x:c r="G4" s="93" t="str">
        <x:v>权利颜色</x:v>
      </x:c>
      <x:c r="H4" s="93" t="str">
        <x:v>可本地保存</x:v>
      </x:c>
      <x:c r="I4" s="93" t="str">
        <x:v>可公开展示</x:v>
      </x:c>
      <x:c r="J4" s="93" t="str">
        <x:v>可商业使用</x:v>
      </x:c>
      <x:c r="K4" s="93" t="str">
        <x:v>可模型训练</x:v>
      </x:c>
      <x:c r="L4" s="93" t="str">
        <x:v>使用策略</x:v>
      </x:c>
      <x:c r="M4" s="93" t="str">
        <x:v>限制摘要</x:v>
      </x:c>
      <x:c r="N4" s="93" t="str">
        <x:v>资源网址</x:v>
      </x:c>
      <x:c r="O4" s="93" t="str">
        <x:v>权利或规则网址</x:v>
      </x:c>
      <x:c r="P4" s="93" t="str">
        <x:v>核查日期</x:v>
      </x:c>
      <x:c r="Q4" s="93" t="str">
        <x:v>下一动作</x:v>
      </x:c>
      <x:c r="R4" s="93" t="str">
        <x:v>责任角色</x:v>
      </x:c>
      <x:c r="S4" s="94" t="str">
        <x:v>状态</x:v>
      </x:c>
    </x:row>
    <x:row r="5" ht="52" customHeight="1">
      <x:c r="A5" s="99" t="str">
        <x:v>SRC-001</x:v>
      </x:c>
      <x:c r="B5" s="99" t="str">
        <x:v>中国第一历史档案馆馆藏档案目录</x:v>
      </x:c>
      <x:c r="C5" s="99" t="str">
        <x:v>原始档案目录</x:v>
      </x:c>
      <x:c r="D5" s="99" t="str">
        <x:v>A1</x:v>
      </x:c>
      <x:c r="E5" s="99" t="str">
        <x:v>清代中央国家机关及宫廷档案目录</x:v>
      </x:c>
      <x:c r="F5" s="99" t="str">
        <x:v>线上检索与预约到馆</x:v>
      </x:c>
      <x:c r="G5" s="99" t="str">
        <x:v>黄</x:v>
      </x:c>
      <x:c r="H5" s="99" t="str">
        <x:v>仅保存自建元数据与研究笔记</x:v>
      </x:c>
      <x:c r="I5" s="99" t="str">
        <x:v>仅展示自建元数据并外链</x:v>
      </x:c>
      <x:c r="J5" s="99" t="str">
        <x:v>待逐项授权</x:v>
      </x:c>
      <x:c r="K5" s="99" t="str">
        <x:v>否</x:v>
      </x:c>
      <x:c r="L5" s="99" t="str">
        <x:v>目录发现与档号核验</x:v>
      </x:c>
      <x:c r="M5" s="99" t="str">
        <x:v>网上可查不等于原档图像可复制再发布</x:v>
      </x:c>
      <x:c r="N5" s="99" t="str">
        <x:v>https://fhac.com.cn/consult.html</x:v>
      </x:c>
      <x:c r="O5" s="99" t="str">
        <x:v>https://fhac.com.cn/</x:v>
      </x:c>
      <x:c r="P5" s="99" t="str">
        <x:v>2026-08-12</x:v>
      </x:c>
      <x:c r="Q5" s="103" t="str">
        <x:v>确认康熙晚年至雍正初年相关全宗与档号</x:v>
      </x:c>
      <x:c r="R5" s="103" t="str">
        <x:v>AI</x:v>
      </x:c>
      <x:c r="S5" s="103" t="str">
        <x:v>已核查</x:v>
      </x:c>
    </x:row>
    <x:row r="6" ht="52" customHeight="1">
      <x:c r="A6" s="100" t="str">
        <x:v>SRC-002</x:v>
      </x:c>
      <x:c r="B6" s="100" t="str">
        <x:v>中国第一历史档案馆清实录全文检索</x:v>
      </x:c>
      <x:c r="C6" s="100" t="str">
        <x:v>官修编年史数字文本</x:v>
      </x:c>
      <x:c r="D6" s="100" t="str">
        <x:v>A2</x:v>
      </x:c>
      <x:c r="E6" s="100" t="str">
        <x:v>《清实录》全文检索</x:v>
      </x:c>
      <x:c r="F6" s="100" t="str">
        <x:v>线上免费检索</x:v>
      </x:c>
      <x:c r="G6" s="100" t="str">
        <x:v>黄</x:v>
      </x:c>
      <x:c r="H6" s="100" t="str">
        <x:v>仅保存必要引文定位与自建标注</x:v>
      </x:c>
      <x:c r="I6" s="100" t="str">
        <x:v>小段合理引文并链接原站</x:v>
      </x:c>
      <x:c r="J6" s="100" t="str">
        <x:v>待核权</x:v>
      </x:c>
      <x:c r="K6" s="100" t="str">
        <x:v>否</x:v>
      </x:c>
      <x:c r="L6" s="100" t="str">
        <x:v>用作检索入口并回查版本</x:v>
      </x:c>
      <x:c r="M6" s="100" t="str">
        <x:v>免费检索不等于允许整库镜像或再发布全文</x:v>
      </x:c>
      <x:c r="N6" s="100" t="str">
        <x:v>https://fhac.com.cn/search_fulltexts.html</x:v>
      </x:c>
      <x:c r="O6" s="100" t="str">
        <x:v>https://fhac.com.cn/</x:v>
      </x:c>
      <x:c r="P6" s="100" t="str">
        <x:v>2026-08-12</x:v>
      </x:c>
      <x:c r="Q6" s="104" t="str">
        <x:v>登记所用版本与卷页定位规则</x:v>
      </x:c>
      <x:c r="R6" s="104" t="str">
        <x:v>AI</x:v>
      </x:c>
      <x:c r="S6" s="104" t="str">
        <x:v>已核查</x:v>
      </x:c>
    </x:row>
    <x:row r="7" ht="52" customHeight="1">
      <x:c r="A7" s="100" t="str">
        <x:v>SRC-003</x:v>
      </x:c>
      <x:c r="B7" s="100" t="str">
        <x:v>中国第一历史档案馆清会典全文检索</x:v>
      </x:c>
      <x:c r="C7" s="100" t="str">
        <x:v>官修制度文献数字文本</x:v>
      </x:c>
      <x:c r="D7" s="100" t="str">
        <x:v>A2</x:v>
      </x:c>
      <x:c r="E7" s="100" t="str">
        <x:v>《清会典》全文检索</x:v>
      </x:c>
      <x:c r="F7" s="100" t="str">
        <x:v>线上免费检索</x:v>
      </x:c>
      <x:c r="G7" s="100" t="str">
        <x:v>黄</x:v>
      </x:c>
      <x:c r="H7" s="100" t="str">
        <x:v>仅保存必要引文定位与自建标注</x:v>
      </x:c>
      <x:c r="I7" s="100" t="str">
        <x:v>小段合理引文并链接原站</x:v>
      </x:c>
      <x:c r="J7" s="100" t="str">
        <x:v>待核权</x:v>
      </x:c>
      <x:c r="K7" s="100" t="str">
        <x:v>否</x:v>
      </x:c>
      <x:c r="L7" s="100" t="str">
        <x:v>用于制度名物与职官核验</x:v>
      </x:c>
      <x:c r="M7" s="100" t="str">
        <x:v>免费检索不等于允许整库镜像或再发布全文</x:v>
      </x:c>
      <x:c r="N7" s="100" t="str">
        <x:v>https://fhac.com.cn/search_fulltexts.html</x:v>
      </x:c>
      <x:c r="O7" s="100" t="str">
        <x:v>https://fhac.com.cn/</x:v>
      </x:c>
      <x:c r="P7" s="100" t="str">
        <x:v>2026-08-12</x:v>
      </x:c>
      <x:c r="Q7" s="104" t="str">
        <x:v>建立版本与条目定位模板</x:v>
      </x:c>
      <x:c r="R7" s="104" t="str">
        <x:v>ME</x:v>
      </x:c>
      <x:c r="S7" s="104" t="str">
        <x:v>已核查</x:v>
      </x:c>
    </x:row>
    <x:row r="8" ht="52" customHeight="1">
      <x:c r="A8" s="100" t="str">
        <x:v>SRC-004</x:v>
      </x:c>
      <x:c r="B8" s="100" t="str">
        <x:v>中国第一历史档案馆查档预约与阅览规则</x:v>
      </x:c>
      <x:c r="C8" s="100" t="str">
        <x:v>访问规则</x:v>
      </x:c>
      <x:c r="D8" s="100" t="str">
        <x:v>A1</x:v>
      </x:c>
      <x:c r="E8" s="100" t="str">
        <x:v>原档调阅与数字档案阅览限制</x:v>
      </x:c>
      <x:c r="F8" s="100" t="str">
        <x:v>官网说明与现场规则</x:v>
      </x:c>
      <x:c r="G8" s="100" t="str">
        <x:v>红</x:v>
      </x:c>
      <x:c r="H8" s="100" t="str">
        <x:v>否</x:v>
      </x:c>
      <x:c r="I8" s="100" t="str">
        <x:v>否</x:v>
      </x:c>
      <x:c r="J8" s="100" t="str">
        <x:v>否</x:v>
      </x:c>
      <x:c r="K8" s="100" t="str">
        <x:v>否</x:v>
      </x:c>
      <x:c r="L8" s="100" t="str">
        <x:v>只登记规则不抓取影像</x:v>
      </x:c>
      <x:c r="M8" s="100" t="str">
        <x:v>数字档案现场阅览存在禁止拍摄等限制；必须以馆方当次规则为准</x:v>
      </x:c>
      <x:c r="N8" s="100" t="str">
        <x:v>https://fhac.com.cn/detail/1308.html</x:v>
      </x:c>
      <x:c r="O8" s="100" t="str">
        <x:v>https://fhac.com.cn/detail/1308.html</x:v>
      </x:c>
      <x:c r="P8" s="100" t="str">
        <x:v>2026-08-12</x:v>
      </x:c>
      <x:c r="Q8" s="104" t="str">
        <x:v>由版权负责人书面确认项目取证方式</x:v>
      </x:c>
      <x:c r="R8" s="104" t="str">
        <x:v>RM</x:v>
      </x:c>
      <x:c r="S8" s="104" t="str">
        <x:v>待书面确认</x:v>
      </x:c>
    </x:row>
    <x:row r="9" ht="52" customHeight="1">
      <x:c r="A9" s="100" t="str">
        <x:v>SRC-005</x:v>
      </x:c>
      <x:c r="B9" s="100" t="str">
        <x:v>国家档案局清代玉牒介绍</x:v>
      </x:c>
      <x:c r="C9" s="100" t="str">
        <x:v>档案知识说明</x:v>
      </x:c>
      <x:c r="D9" s="100" t="str">
        <x:v>B</x:v>
      </x:c>
      <x:c r="E9" s="100" t="str">
        <x:v>玉牒的形制内容与保管背景</x:v>
      </x:c>
      <x:c r="F9" s="100" t="str">
        <x:v>线上阅读</x:v>
      </x:c>
      <x:c r="G9" s="100" t="str">
        <x:v>黄</x:v>
      </x:c>
      <x:c r="H9" s="100" t="str">
        <x:v>保存链接与必要摘录</x:v>
      </x:c>
      <x:c r="I9" s="100" t="str">
        <x:v>小段引文并链接</x:v>
      </x:c>
      <x:c r="J9" s="100" t="str">
        <x:v>待核权</x:v>
      </x:c>
      <x:c r="K9" s="100" t="str">
        <x:v>否</x:v>
      </x:c>
      <x:c r="L9" s="100" t="str">
        <x:v>用于术语和来源背景；不代替玉牒原件</x:v>
      </x:c>
      <x:c r="M9" s="100" t="str">
        <x:v>说明文章不是具体谱系关系的最终证据</x:v>
      </x:c>
      <x:c r="N9" s="100" t="str">
        <x:v>https://www.saac.gov.cn/daj/dawxyc/201201/d9e6e3e05d3b4cb698712b308fa09c1e.shtml</x:v>
      </x:c>
      <x:c r="O9" s="100" t="str">
        <x:v>https://www.saac.gov.cn/</x:v>
      </x:c>
      <x:c r="P9" s="100" t="str">
        <x:v>2026-08-12</x:v>
      </x:c>
      <x:c r="Q9" s="104" t="str">
        <x:v>追查可用的具体玉牒版本与馆藏号</x:v>
      </x:c>
      <x:c r="R9" s="104" t="str">
        <x:v>AH</x:v>
      </x:c>
      <x:c r="S9" s="104" t="str">
        <x:v>已核查</x:v>
      </x:c>
    </x:row>
    <x:row r="10" ht="52" customHeight="1">
      <x:c r="A10" s="100" t="str">
        <x:v>SRC-006</x:v>
      </x:c>
      <x:c r="B10" s="100" t="str">
        <x:v>台北故宫清代档案检索系统</x:v>
      </x:c>
      <x:c r="C10" s="100" t="str">
        <x:v>原始档案数字影像与目录</x:v>
      </x:c>
      <x:c r="D10" s="100" t="str">
        <x:v>A1</x:v>
      </x:c>
      <x:c r="E10" s="100" t="str">
        <x:v>宫中档奏折与军机处档折件等</x:v>
      </x:c>
      <x:c r="F10" s="100" t="str">
        <x:v>线上浏览无需账号</x:v>
      </x:c>
      <x:c r="G10" s="100" t="str">
        <x:v>黄</x:v>
      </x:c>
      <x:c r="H10" s="100" t="str">
        <x:v>仅保存自建元数据；影像下载须逐项核权</x:v>
      </x:c>
      <x:c r="I10" s="100" t="str">
        <x:v>公开站仅外链或嵌入经许可内容</x:v>
      </x:c>
      <x:c r="J10" s="100" t="str">
        <x:v>待逐项授权</x:v>
      </x:c>
      <x:c r="K10" s="100" t="str">
        <x:v>否</x:v>
      </x:c>
      <x:c r="L10" s="100" t="str">
        <x:v>首选原档发现与影像核对入口</x:v>
      </x:c>
      <x:c r="M10" s="100" t="str">
        <x:v>能浏览不代表档案影像属于开放资料</x:v>
      </x:c>
      <x:c r="N10" s="100" t="str">
        <x:v>https://qingarchives.npm.edu.tw/index.php?act=Landing%2Finformation</x:v>
      </x:c>
      <x:c r="O10" s="100" t="str">
        <x:v>https://www.npm.gov.tw/Article.aspx?sNo=03001505</x:v>
      </x:c>
      <x:c r="P10" s="100" t="str">
        <x:v>2026-08-12</x:v>
      </x:c>
      <x:c r="Q10" s="104" t="str">
        <x:v>建立目标档件清单并逐件登记权利</x:v>
      </x:c>
      <x:c r="R10" s="104" t="str">
        <x:v>RM</x:v>
      </x:c>
      <x:c r="S10" s="104" t="str">
        <x:v>已核查</x:v>
      </x:c>
    </x:row>
    <x:row r="11" ht="52" customHeight="1">
      <x:c r="A11" s="100" t="str">
        <x:v>SRC-007</x:v>
      </x:c>
      <x:c r="B11" s="100" t="str">
        <x:v>台北故宫 Open Data</x:v>
      </x:c>
      <x:c r="C11" s="100" t="str">
        <x:v>博物馆开放资料</x:v>
      </x:c>
      <x:c r="D11" s="100" t="str">
        <x:v>视对象而定</x:v>
      </x:c>
      <x:c r="E11" s="100" t="str">
        <x:v>明确纳入开放资料的书画器物图像与元数据</x:v>
      </x:c>
      <x:c r="F11" s="100" t="str">
        <x:v>开放下载</x:v>
      </x:c>
      <x:c r="G11" s="100" t="str">
        <x:v>绿</x:v>
      </x:c>
      <x:c r="H11" s="100" t="str">
        <x:v>是但限明确标记的开放对象</x:v>
      </x:c>
      <x:c r="I11" s="100" t="str">
        <x:v>是但须按所选分辨率许可</x:v>
      </x:c>
      <x:c r="J11" s="100" t="str">
        <x:v>是但须遵守对应许可</x:v>
      </x:c>
      <x:c r="K11" s="100" t="str">
        <x:v>待逐项判断</x:v>
      </x:c>
      <x:c r="L11" s="100" t="str">
        <x:v>低阶图像优先 CC0；中阶图像按 CC BY 4.0 署名</x:v>
      </x:c>
      <x:c r="M11" s="100" t="str">
        <x:v>清档系统影像不自动纳入此开放范围；必须逐对象核验</x:v>
      </x:c>
      <x:c r="N11" s="100" t="str">
        <x:v>https://digitalarchive.npm.gov.tw/opendata</x:v>
      </x:c>
      <x:c r="O11" s="100" t="str">
        <x:v>https://digitalarchive.npm.gov.tw/opendata</x:v>
      </x:c>
      <x:c r="P11" s="100" t="str">
        <x:v>2026-08-12</x:v>
      </x:c>
      <x:c r="Q11" s="104" t="str">
        <x:v>筛选 Phase 0 可合法展示的帝后画像</x:v>
      </x:c>
      <x:c r="R11" s="104" t="str">
        <x:v>RM</x:v>
      </x:c>
      <x:c r="S11" s="104" t="str">
        <x:v>已核查</x:v>
      </x:c>
    </x:row>
    <x:row r="12" ht="52" customHeight="1">
      <x:c r="A12" s="100" t="str">
        <x:v>SRC-008</x:v>
      </x:c>
      <x:c r="B12" s="100" t="str">
        <x:v>台北故宫宫中档奏折专题说明</x:v>
      </x:c>
      <x:c r="C12" s="100" t="str">
        <x:v>馆藏专题说明</x:v>
      </x:c>
      <x:c r="D12" s="100" t="str">
        <x:v>A1</x:v>
      </x:c>
      <x:c r="E12" s="100" t="str">
        <x:v>宫中档奏折馆藏脉络与数量说明</x:v>
      </x:c>
      <x:c r="F12" s="100" t="str">
        <x:v>线上阅读</x:v>
      </x:c>
      <x:c r="G12" s="100" t="str">
        <x:v>黄</x:v>
      </x:c>
      <x:c r="H12" s="100" t="str">
        <x:v>保存链接与必要摘录</x:v>
      </x:c>
      <x:c r="I12" s="100" t="str">
        <x:v>小段引文并链接</x:v>
      </x:c>
      <x:c r="J12" s="100" t="str">
        <x:v>待核权</x:v>
      </x:c>
      <x:c r="K12" s="100" t="str">
        <x:v>否</x:v>
      </x:c>
      <x:c r="L12" s="100" t="str">
        <x:v>用于理解档案系列与制定检索策略</x:v>
      </x:c>
      <x:c r="M12" s="100" t="str">
        <x:v>专题页不是影像开放许可</x:v>
      </x:c>
      <x:c r="N12" s="100" t="str">
        <x:v>https://theme.npm.edu.tw/selection/Article.aspx?sNo=04001049</x:v>
      </x:c>
      <x:c r="O12" s="100" t="str">
        <x:v>https://www.npm.gov.tw/Article.aspx?sNo=03001505</x:v>
      </x:c>
      <x:c r="P12" s="100" t="str">
        <x:v>2026-08-12</x:v>
      </x:c>
      <x:c r="Q12" s="104" t="str">
        <x:v>把相关档号回填到档案单元表</x:v>
      </x:c>
      <x:c r="R12" s="104" t="str">
        <x:v>AH</x:v>
      </x:c>
      <x:c r="S12" s="104" t="str">
        <x:v>已核查</x:v>
      </x:c>
    </x:row>
    <x:row r="13" ht="52" customHeight="1">
      <x:c r="A13" s="100" t="str">
        <x:v>SRC-009</x:v>
      </x:c>
      <x:c r="B13" s="100" t="str">
        <x:v>台北故宫史馆档传包传稿专题说明</x:v>
      </x:c>
      <x:c r="C13" s="100" t="str">
        <x:v>馆藏专题说明</x:v>
      </x:c>
      <x:c r="D13" s="100" t="str">
        <x:v>A1</x:v>
      </x:c>
      <x:c r="E13" s="100" t="str">
        <x:v>人物传记底稿与史馆档脉络</x:v>
      </x:c>
      <x:c r="F13" s="100" t="str">
        <x:v>线上阅读</x:v>
      </x:c>
      <x:c r="G13" s="100" t="str">
        <x:v>黄</x:v>
      </x:c>
      <x:c r="H13" s="100" t="str">
        <x:v>保存链接与必要摘录</x:v>
      </x:c>
      <x:c r="I13" s="100" t="str">
        <x:v>小段引文并链接</x:v>
      </x:c>
      <x:c r="J13" s="100" t="str">
        <x:v>待核权</x:v>
      </x:c>
      <x:c r="K13" s="100" t="str">
        <x:v>否</x:v>
      </x:c>
      <x:c r="L13" s="100" t="str">
        <x:v>用于人物生平交叉核验和来源谱系识别</x:v>
      </x:c>
      <x:c r="M13" s="100" t="str">
        <x:v>专题说明不能替代具体档件</x:v>
      </x:c>
      <x:c r="N13" s="100" t="str">
        <x:v>https://theme.npm.edu.tw/selection/Article.aspx?sNo=04001050</x:v>
      </x:c>
      <x:c r="O13" s="100" t="str">
        <x:v>https://www.npm.gov.tw/Article.aspx?sNo=03001505</x:v>
      </x:c>
      <x:c r="P13" s="100" t="str">
        <x:v>2026-08-12</x:v>
      </x:c>
      <x:c r="Q13" s="104" t="str">
        <x:v>列出与 50 人样本相关的传包传稿</x:v>
      </x:c>
      <x:c r="R13" s="104" t="str">
        <x:v>AH</x:v>
      </x:c>
      <x:c r="S13" s="104" t="str">
        <x:v>已核查</x:v>
      </x:c>
    </x:row>
    <x:row r="14" ht="52" customHeight="1">
      <x:c r="A14" s="100" t="str">
        <x:v>SRC-010</x:v>
      </x:c>
      <x:c r="B14" s="100" t="str">
        <x:v>中央研究院历史语言研究所内阁大库档案</x:v>
      </x:c>
      <x:c r="C14" s="100" t="str">
        <x:v>原始档案目录与数字资源</x:v>
      </x:c>
      <x:c r="D14" s="100" t="str">
        <x:v>A1</x:v>
      </x:c>
      <x:c r="E14" s="100" t="str">
        <x:v>清代内阁档案目录与部分数字影像</x:v>
      </x:c>
      <x:c r="F14" s="100" t="str">
        <x:v>线上检索；部分功能受规则限制</x:v>
      </x:c>
      <x:c r="G14" s="100" t="str">
        <x:v>黄</x:v>
      </x:c>
      <x:c r="H14" s="100" t="str">
        <x:v>仅保存自建元数据与获准下载内容</x:v>
      </x:c>
      <x:c r="I14" s="100" t="str">
        <x:v>元数据外链；影像逐项核权</x:v>
      </x:c>
      <x:c r="J14" s="100" t="str">
        <x:v>待核权</x:v>
      </x:c>
      <x:c r="K14" s="100" t="str">
        <x:v>否</x:v>
      </x:c>
      <x:c r="L14" s="100" t="str">
        <x:v>用来补一史馆与台北故宫的档案发现</x:v>
      </x:c>
      <x:c r="M14" s="100" t="str">
        <x:v>使用许可和访问条件需遵守站方规则</x:v>
      </x:c>
      <x:c r="N14" s="100" t="str">
        <x:v>https://newarchive.ihp.sinica.edu.tw/mcttp/</x:v>
      </x:c>
      <x:c r="O14" s="100" t="str">
        <x:v>https://newarchive.ihp.sinica.edu.tw/mcttp/rules.htm</x:v>
      </x:c>
      <x:c r="P14" s="100" t="str">
        <x:v>2026-08-12</x:v>
      </x:c>
      <x:c r="Q14" s="104" t="str">
        <x:v>核查目标档件的可见层级与引用格式</x:v>
      </x:c>
      <x:c r="R14" s="104" t="str">
        <x:v>RM</x:v>
      </x:c>
      <x:c r="S14" s="104" t="str">
        <x:v>已核查</x:v>
      </x:c>
    </x:row>
    <x:row r="15" ht="52" customHeight="1">
      <x:c r="A15" s="100" t="str">
        <x:v>SRC-011</x:v>
      </x:c>
      <x:c r="B15" s="100" t="str">
        <x:v>内阁大库档案使用规则</x:v>
      </x:c>
      <x:c r="C15" s="100" t="str">
        <x:v>访问与使用规则</x:v>
      </x:c>
      <x:c r="D15" s="100" t="str">
        <x:v>A1</x:v>
      </x:c>
      <x:c r="E15" s="100" t="str">
        <x:v>系统使用与资料利用边界</x:v>
      </x:c>
      <x:c r="F15" s="100" t="str">
        <x:v>线上阅读</x:v>
      </x:c>
      <x:c r="G15" s="100" t="str">
        <x:v>红</x:v>
      </x:c>
      <x:c r="H15" s="100" t="str">
        <x:v>仅在许可范围内</x:v>
      </x:c>
      <x:c r="I15" s="100" t="str">
        <x:v>仅在许可范围内</x:v>
      </x:c>
      <x:c r="J15" s="100" t="str">
        <x:v>待许可</x:v>
      </x:c>
      <x:c r="K15" s="100" t="str">
        <x:v>否</x:v>
      </x:c>
      <x:c r="L15" s="100" t="str">
        <x:v>作为采集流程的强制合规门</x:v>
      </x:c>
      <x:c r="M15" s="100" t="str">
        <x:v>不得把研究查询权限解释为批量再利用许可</x:v>
      </x:c>
      <x:c r="N15" s="100" t="str">
        <x:v>https://newarchive.ihp.sinica.edu.tw/mcttp/rules.htm</x:v>
      </x:c>
      <x:c r="O15" s="100" t="str">
        <x:v>https://newarchive.ihp.sinica.edu.tw/mcttp/rules.htm</x:v>
      </x:c>
      <x:c r="P15" s="100" t="str">
        <x:v>2026-08-12</x:v>
      </x:c>
      <x:c r="Q15" s="104" t="str">
        <x:v>形成内部可做与不可做清单</x:v>
      </x:c>
      <x:c r="R15" s="104" t="str">
        <x:v>RM</x:v>
      </x:c>
      <x:c r="S15" s="104" t="str">
        <x:v>已核查</x:v>
      </x:c>
    </x:row>
    <x:row r="16" ht="52" customHeight="1">
      <x:c r="A16" s="100" t="str">
        <x:v>SRC-012</x:v>
      </x:c>
      <x:c r="B16" s="100" t="str">
        <x:v>中央研究院汉籍电子文献资料库</x:v>
      </x:c>
      <x:c r="C16" s="100" t="str">
        <x:v>古籍数字文本</x:v>
      </x:c>
      <x:c r="D16" s="100" t="str">
        <x:v>B</x:v>
      </x:c>
      <x:c r="E16" s="100" t="str">
        <x:v>清代典籍与检索文本</x:v>
      </x:c>
      <x:c r="F16" s="100" t="str">
        <x:v>线上检索；部分内容需账号或机构权限</x:v>
      </x:c>
      <x:c r="G16" s="100" t="str">
        <x:v>黄</x:v>
      </x:c>
      <x:c r="H16" s="100" t="str">
        <x:v>仅保存必要引文与自建标注</x:v>
      </x:c>
      <x:c r="I16" s="100" t="str">
        <x:v>小段引文并链接</x:v>
      </x:c>
      <x:c r="J16" s="100" t="str">
        <x:v>待核权</x:v>
      </x:c>
      <x:c r="K16" s="100" t="str">
        <x:v>否</x:v>
      </x:c>
      <x:c r="L16" s="100" t="str">
        <x:v>作为全文发现入口；再回查具体版本</x:v>
      </x:c>
      <x:c r="M16" s="100" t="str">
        <x:v>不同数据库内容与许可不一不可一概复制</x:v>
      </x:c>
      <x:c r="N16" s="100" t="str">
        <x:v>https://hanji.ihp.sinica.edu.tw/</x:v>
      </x:c>
      <x:c r="O16" s="100" t="str">
        <x:v>https://hanji.ihp.sinica.edu.tw/</x:v>
      </x:c>
      <x:c r="P16" s="100" t="str">
        <x:v>2026-08-12</x:v>
      </x:c>
      <x:c r="Q16" s="104" t="str">
        <x:v>确认《清史稿》等目标版本与利用条款</x:v>
      </x:c>
      <x:c r="R16" s="104" t="str">
        <x:v>ME</x:v>
      </x:c>
      <x:c r="S16" s="104" t="str">
        <x:v>已核查</x:v>
      </x:c>
    </x:row>
    <x:row r="17" ht="52" customHeight="1">
      <x:c r="A17" s="100" t="str">
        <x:v>SRC-013</x:v>
      </x:c>
      <x:c r="B17" s="100" t="str">
        <x:v>中央研究院清代职官资料库与人名权威</x:v>
      </x:c>
      <x:c r="C17" s="100" t="str">
        <x:v>人物与职官权威数据</x:v>
      </x:c>
      <x:c r="D17" s="100" t="str">
        <x:v>B</x:v>
      </x:c>
      <x:c r="E17" s="100" t="str">
        <x:v>清代人名异名与职官线索</x:v>
      </x:c>
      <x:c r="F17" s="100" t="str">
        <x:v>线上检索</x:v>
      </x:c>
      <x:c r="G17" s="100" t="str">
        <x:v>黄</x:v>
      </x:c>
      <x:c r="H17" s="100" t="str">
        <x:v>仅保存匹配 ID 与自建映射</x:v>
      </x:c>
      <x:c r="I17" s="100" t="str">
        <x:v>展示自建记录并外链</x:v>
      </x:c>
      <x:c r="J17" s="100" t="str">
        <x:v>待核权</x:v>
      </x:c>
      <x:c r="K17" s="100" t="str">
        <x:v>否</x:v>
      </x:c>
      <x:c r="L17" s="100" t="str">
        <x:v>用于消歧候选；不直接作为史实终审</x:v>
      </x:c>
      <x:c r="M17" s="100" t="str">
        <x:v>权威库仍需结合原始材料逐条核验</x:v>
      </x:c>
      <x:c r="N17" s="100" t="str">
        <x:v>https://newarchive.ihp.sinica.edu.tw/sncaccgi/sncacFtp</x:v>
      </x:c>
      <x:c r="O17" s="100" t="str">
        <x:v>https://www1.ihp.sinica.edu.tw/Bulletin/News/1770/Detail</x:v>
      </x:c>
      <x:c r="P17" s="100" t="str">
        <x:v>2026-08-12</x:v>
      </x:c>
      <x:c r="Q17" s="104" t="str">
        <x:v>为 50 人建立外部标识映射</x:v>
      </x:c>
      <x:c r="R17" s="104" t="str">
        <x:v>DA</x:v>
      </x:c>
      <x:c r="S17" s="104" t="str">
        <x:v>已核查</x:v>
      </x:c>
    </x:row>
    <x:row r="18" ht="52" customHeight="1">
      <x:c r="A18" s="100" t="str">
        <x:v>SRC-014</x:v>
      </x:c>
      <x:c r="B18" s="100" t="str">
        <x:v>中国历代人物传记资料库 CBDB</x:v>
      </x:c>
      <x:c r="C18" s="100" t="str">
        <x:v>人物关系与履历聚合数据</x:v>
      </x:c>
      <x:c r="D18" s="100" t="str">
        <x:v>B</x:v>
      </x:c>
      <x:c r="E18" s="100" t="str">
        <x:v>人物身份关系与任官线索</x:v>
      </x:c>
      <x:c r="F18" s="100" t="str">
        <x:v>线上检索与数据下载</x:v>
      </x:c>
      <x:c r="G18" s="100" t="str">
        <x:v>红</x:v>
      </x:c>
      <x:c r="H18" s="100" t="str">
        <x:v>非商业研究按许可；商业项目不得直接作底库</x:v>
      </x:c>
      <x:c r="I18" s="100" t="str">
        <x:v>仅展示自建核验结果</x:v>
      </x:c>
      <x:c r="J18" s="100" t="str">
        <x:v>中国大陆商业使用受专属授权限制</x:v>
      </x:c>
      <x:c r="K18" s="100" t="str">
        <x:v>否</x:v>
      </x:c>
      <x:c r="L18" s="100" t="str">
        <x:v>仅作线索和交叉检查；不用作商业底库</x:v>
      </x:c>
      <x:c r="M18" s="100" t="str">
        <x:v>CC BY-NC-SA 与大陆商业专属授权会限制产品化</x:v>
      </x:c>
      <x:c r="N18" s="100" t="str">
        <x:v>https://cbdb.hsites.harvard.edu/</x:v>
      </x:c>
      <x:c r="O18" s="100" t="str">
        <x:v>https://cbdb.hsites.harvard.edu/exclusive-commercial-license</x:v>
      </x:c>
      <x:c r="P18" s="100" t="str">
        <x:v>2026-08-12</x:v>
      </x:c>
      <x:c r="Q18" s="104" t="str">
        <x:v>由法律顾问确认商业场景边界</x:v>
      </x:c>
      <x:c r="R18" s="104" t="str">
        <x:v>RM</x:v>
      </x:c>
      <x:c r="S18" s="104" t="str">
        <x:v>已核查</x:v>
      </x:c>
    </x:row>
    <x:row r="19" ht="52" customHeight="1">
      <x:c r="A19" s="100" t="str">
        <x:v>SRC-015</x:v>
      </x:c>
      <x:c r="B19" s="100" t="str">
        <x:v>CBDB API</x:v>
      </x:c>
      <x:c r="C19" s="100" t="str">
        <x:v>人物结构化接口</x:v>
      </x:c>
      <x:c r="D19" s="100" t="str">
        <x:v>B</x:v>
      </x:c>
      <x:c r="E19" s="100" t="str">
        <x:v>人物别名关系与任官线索</x:v>
      </x:c>
      <x:c r="F19" s="100" t="str">
        <x:v>公开接口</x:v>
      </x:c>
      <x:c r="G19" s="100" t="str">
        <x:v>红</x:v>
      </x:c>
      <x:c r="H19" s="100" t="str">
        <x:v>仅在许可范围内缓存</x:v>
      </x:c>
      <x:c r="I19" s="100" t="str">
        <x:v>仅展示自建核验结果</x:v>
      </x:c>
      <x:c r="J19" s="100" t="str">
        <x:v>中国大陆商业项目待授权</x:v>
      </x:c>
      <x:c r="K19" s="100" t="str">
        <x:v>否</x:v>
      </x:c>
      <x:c r="L19" s="100" t="str">
        <x:v>限 Phase 0 研究性比对；保留来源标识</x:v>
      </x:c>
      <x:c r="M19" s="100" t="str">
        <x:v>接口开放不等于数据可无条件商业再发布</x:v>
      </x:c>
      <x:c r="N19" s="100" t="str">
        <x:v>https://input.cbdb.fas.harvard.edu/cbdbapi/index.html</x:v>
      </x:c>
      <x:c r="O19" s="100" t="str">
        <x:v>https://cbdb.hsites.harvard.edu/exclusive-commercial-license</x:v>
      </x:c>
      <x:c r="P19" s="100" t="str">
        <x:v>2026-08-12</x:v>
      </x:c>
      <x:c r="Q19" s="104" t="str">
        <x:v>做 10 人消歧试验并记录命中误差</x:v>
      </x:c>
      <x:c r="R19" s="104" t="str">
        <x:v>DA</x:v>
      </x:c>
      <x:c r="S19" s="104" t="str">
        <x:v>待试验</x:v>
      </x:c>
    </x:row>
    <x:row r="20" ht="52" customHeight="1">
      <x:c r="A20" s="100" t="str">
        <x:v>SRC-016</x:v>
      </x:c>
      <x:c r="B20" s="100" t="str">
        <x:v>中国历史地理信息系统 CHGIS</x:v>
      </x:c>
      <x:c r="C20" s="100" t="str">
        <x:v>历史地名与坐标数据</x:v>
      </x:c>
      <x:c r="D20" s="100" t="str">
        <x:v>B</x:v>
      </x:c>
      <x:c r="E20" s="100" t="str">
        <x:v>历史地名层级与地理参考</x:v>
      </x:c>
      <x:c r="F20" s="100" t="str">
        <x:v>线上检索与数据服务</x:v>
      </x:c>
      <x:c r="G20" s="100" t="str">
        <x:v>黄</x:v>
      </x:c>
      <x:c r="H20" s="100" t="str">
        <x:v>仅保存自建映射及许可数据</x:v>
      </x:c>
      <x:c r="I20" s="100" t="str">
        <x:v>展示自建地点记录并署名外链</x:v>
      </x:c>
      <x:c r="J20" s="100" t="str">
        <x:v>待核权</x:v>
      </x:c>
      <x:c r="K20" s="100" t="str">
        <x:v>否</x:v>
      </x:c>
      <x:c r="L20" s="100" t="str">
        <x:v>用于地点消歧候选和地图定位</x:v>
      </x:c>
      <x:c r="M20" s="100" t="str">
        <x:v>必须核查具体数据集许可与时间切片</x:v>
      </x:c>
      <x:c r="N20" s="100" t="str">
        <x:v>https://chgis.fas.harvard.edu/</x:v>
      </x:c>
      <x:c r="O20" s="100" t="str">
        <x:v>https://chgis.fas.harvard.edu/</x:v>
      </x:c>
      <x:c r="P20" s="100" t="str">
        <x:v>2026-08-12</x:v>
      </x:c>
      <x:c r="Q20" s="104" t="str">
        <x:v>选 10 个地点做消歧与坐标核验</x:v>
      </x:c>
      <x:c r="R20" s="104" t="str">
        <x:v>DA</x:v>
      </x:c>
      <x:c r="S20" s="104" t="str">
        <x:v>待核查</x:v>
      </x:c>
    </x:row>
    <x:row r="21" ht="52" customHeight="1">
      <x:c r="A21" s="100" t="str">
        <x:v>SRC-017</x:v>
      </x:c>
      <x:c r="B21" s="100" t="str">
        <x:v>北京故宫博物院清代帝后世系与人物页</x:v>
      </x:c>
      <x:c r="C21" s="100" t="str">
        <x:v>权威馆藏与人物说明</x:v>
      </x:c>
      <x:c r="D21" s="100" t="str">
        <x:v>B</x:v>
      </x:c>
      <x:c r="E21" s="100" t="str">
        <x:v>帝后人物及相关馆藏线索</x:v>
      </x:c>
      <x:c r="F21" s="100" t="str">
        <x:v>线上浏览</x:v>
      </x:c>
      <x:c r="G21" s="100" t="str">
        <x:v>黄</x:v>
      </x:c>
      <x:c r="H21" s="100" t="str">
        <x:v>仅保存自建元数据与必要引文</x:v>
      </x:c>
      <x:c r="I21" s="100" t="str">
        <x:v>外链；图片不在未授权情况下镜像</x:v>
      </x:c>
      <x:c r="J21" s="100" t="str">
        <x:v>待授权</x:v>
      </x:c>
      <x:c r="K21" s="100" t="str">
        <x:v>否</x:v>
      </x:c>
      <x:c r="L21" s="100" t="str">
        <x:v>用于权威馆藏发现与外部链接</x:v>
      </x:c>
      <x:c r="M21" s="100" t="str">
        <x:v>网站内容和图片受严格使用条款约束</x:v>
      </x:c>
      <x:c r="N21" s="100" t="str">
        <x:v>https://www.dpm.org.cn/court/lineage/226259.html</x:v>
      </x:c>
      <x:c r="O21" s="100" t="str">
        <x:v>https://digicol.dpm.org.cn/page/copyright</x:v>
      </x:c>
      <x:c r="P21" s="100" t="str">
        <x:v>2026-08-12</x:v>
      </x:c>
      <x:c r="Q21" s="104" t="str">
        <x:v>列出 Phase 0 所需人物页与馆藏对象</x:v>
      </x:c>
      <x:c r="R21" s="104" t="str">
        <x:v>RM</x:v>
      </x:c>
      <x:c r="S21" s="104" t="str">
        <x:v>已核查</x:v>
      </x:c>
    </x:row>
    <x:row r="22" ht="52" customHeight="1">
      <x:c r="A22" s="100" t="str">
        <x:v>SRC-018</x:v>
      </x:c>
      <x:c r="B22" s="100" t="str">
        <x:v>故宫博物院数字文物库版权声明</x:v>
      </x:c>
      <x:c r="C22" s="100" t="str">
        <x:v>权利规则</x:v>
      </x:c>
      <x:c r="D22" s="100" t="str">
        <x:v>A1</x:v>
      </x:c>
      <x:c r="E22" s="100" t="str">
        <x:v>数字文物图片与网站内容使用边界</x:v>
      </x:c>
      <x:c r="F22" s="100" t="str">
        <x:v>线上阅读</x:v>
      </x:c>
      <x:c r="G22" s="100" t="str">
        <x:v>红</x:v>
      </x:c>
      <x:c r="H22" s="100" t="str">
        <x:v>未经授权否</x:v>
      </x:c>
      <x:c r="I22" s="100" t="str">
        <x:v>未经授权否</x:v>
      </x:c>
      <x:c r="J22" s="100" t="str">
        <x:v>未经授权否</x:v>
      </x:c>
      <x:c r="K22" s="100" t="str">
        <x:v>否</x:v>
      </x:c>
      <x:c r="L22" s="100" t="str">
        <x:v>把北京故宫图片默认为禁用直至获书面许可</x:v>
      </x:c>
      <x:c r="M22" s="100" t="str">
        <x:v>公开可见不等于可复制传播或商业利用</x:v>
      </x:c>
      <x:c r="N22" s="100" t="str">
        <x:v>https://digicol.dpm.org.cn/page/copyright</x:v>
      </x:c>
      <x:c r="O22" s="100" t="str">
        <x:v>https://digicol.dpm.org.cn/page/copyright</x:v>
      </x:c>
      <x:c r="P22" s="100" t="str">
        <x:v>2026-08-12</x:v>
      </x:c>
      <x:c r="Q22" s="104" t="str">
        <x:v>将规则写入图像入库门禁</x:v>
      </x:c>
      <x:c r="R22" s="104" t="str">
        <x:v>RM</x:v>
      </x:c>
      <x:c r="S22" s="104" t="str">
        <x:v>已核查</x:v>
      </x:c>
    </x:row>
    <x:row r="23" ht="52" customHeight="1">
      <x:c r="A23" s="100" t="str">
        <x:v>SRC-019</x:v>
      </x:c>
      <x:c r="B23" s="100" t="str">
        <x:v>故宫博物院数字文物库图像使用申请</x:v>
      </x:c>
      <x:c r="C23" s="100" t="str">
        <x:v>授权申请入口</x:v>
      </x:c>
      <x:c r="D23" s="100" t="str">
        <x:v>A1</x:v>
      </x:c>
      <x:c r="E23" s="100" t="str">
        <x:v>馆藏图像授权申请流程</x:v>
      </x:c>
      <x:c r="F23" s="100" t="str">
        <x:v>线上申请</x:v>
      </x:c>
      <x:c r="G23" s="100" t="str">
        <x:v>黄</x:v>
      </x:c>
      <x:c r="H23" s="100" t="str">
        <x:v>获批后按协议</x:v>
      </x:c>
      <x:c r="I23" s="100" t="str">
        <x:v>获批后按协议</x:v>
      </x:c>
      <x:c r="J23" s="100" t="str">
        <x:v>获批后按协议</x:v>
      </x:c>
      <x:c r="K23" s="100" t="str">
        <x:v>否</x:v>
      </x:c>
      <x:c r="L23" s="100" t="str">
        <x:v>对高价值核心画像走正式授权</x:v>
      </x:c>
      <x:c r="M23" s="100" t="str">
        <x:v>授权范围分辨率期限与媒介需逐项谈定</x:v>
      </x:c>
      <x:c r="N23" s="100" t="str">
        <x:v>https://digicol.dpm.org.cn/page/applyimage</x:v>
      </x:c>
      <x:c r="O23" s="100" t="str">
        <x:v>https://digicol.dpm.org.cn/page/applyimage</x:v>
      </x:c>
      <x:c r="P23" s="100" t="str">
        <x:v>2026-08-12</x:v>
      </x:c>
      <x:c r="Q23" s="104" t="str">
        <x:v>准备 10 幅核心图像申请清单</x:v>
      </x:c>
      <x:c r="R23" s="104" t="str">
        <x:v>RM</x:v>
      </x:c>
      <x:c r="S23" s="104" t="str">
        <x:v>待申请</x:v>
      </x:c>
    </x:row>
    <x:row r="24" ht="52" customHeight="1">
      <x:c r="A24" s="100" t="str">
        <x:v>SRC-020</x:v>
      </x:c>
      <x:c r="B24" s="100" t="str">
        <x:v>中国哲学书电子化计划《清史稿》</x:v>
      </x:c>
      <x:c r="C24" s="100" t="str">
        <x:v>数字古籍文本</x:v>
      </x:c>
      <x:c r="D24" s="100" t="str">
        <x:v>C</x:v>
      </x:c>
      <x:c r="E24" s="100" t="str">
        <x:v>《清史稿》在线文本与章节链接</x:v>
      </x:c>
      <x:c r="F24" s="100" t="str">
        <x:v>线上阅读</x:v>
      </x:c>
      <x:c r="G24" s="100" t="str">
        <x:v>黄</x:v>
      </x:c>
      <x:c r="H24" s="100" t="str">
        <x:v>只保存必要引文与定位</x:v>
      </x:c>
      <x:c r="I24" s="100" t="str">
        <x:v>小段引文并链接</x:v>
      </x:c>
      <x:c r="J24" s="100" t="str">
        <x:v>待核权</x:v>
      </x:c>
      <x:c r="K24" s="100" t="str">
        <x:v>否</x:v>
      </x:c>
      <x:c r="L24" s="100" t="str">
        <x:v>用于快速检索线索；回查可靠底本</x:v>
      </x:c>
      <x:c r="M24" s="100" t="str">
        <x:v>数字转录可能有 OCR 或版本差异且不可作为事实终审</x:v>
      </x:c>
      <x:c r="N24" s="100" t="str">
        <x:v>https://ctext.org/wiki.pl?if=gb&amp;res=98755</x:v>
      </x:c>
      <x:c r="O24" s="100" t="str">
        <x:v>https://ctext.org/</x:v>
      </x:c>
      <x:c r="P24" s="100" t="str">
        <x:v>2026-08-12</x:v>
      </x:c>
      <x:c r="Q24" s="104" t="str">
        <x:v>抽查十段与可核版本差异</x:v>
      </x:c>
      <x:c r="R24" s="104" t="str">
        <x:v>ME</x:v>
      </x:c>
      <x:c r="S24" s="104" t="str">
        <x:v>已核查</x:v>
      </x:c>
    </x:row>
    <x:row r="25" ht="52" customHeight="1">
      <x:c r="A25" s="100" t="str">
        <x:v>SRC-021</x:v>
      </x:c>
      <x:c r="B25" s="100" t="str">
        <x:v>美国大都会艺术博物馆 Open Access</x:v>
      </x:c>
      <x:c r="C25" s="100" t="str">
        <x:v>博物馆开放图像</x:v>
      </x:c>
      <x:c r="D25" s="100" t="str">
        <x:v>视对象而定</x:v>
      </x:c>
      <x:c r="E25" s="100" t="str">
        <x:v>明确标记 Public Domain 的清代艺术品图像与元数据</x:v>
      </x:c>
      <x:c r="F25" s="100" t="str">
        <x:v>开放下载与 API</x:v>
      </x:c>
      <x:c r="G25" s="100" t="str">
        <x:v>绿</x:v>
      </x:c>
      <x:c r="H25" s="100" t="str">
        <x:v>是但限明确标记的公版对象</x:v>
      </x:c>
      <x:c r="I25" s="100" t="str">
        <x:v>是</x:v>
      </x:c>
      <x:c r="J25" s="100" t="str">
        <x:v>是</x:v>
      </x:c>
      <x:c r="K25" s="100" t="str">
        <x:v>按官方开放政策判断</x:v>
      </x:c>
      <x:c r="L25" s="100" t="str">
        <x:v>优先用于可合法展示的辅助人物与服饰图像</x:v>
      </x:c>
      <x:c r="M25" s="100" t="str">
        <x:v>每件对象须确认 Public Domain 标记不能只看年代</x:v>
      </x:c>
      <x:c r="N25" s="100" t="str">
        <x:v>https://www.metmuseum.org/hubs/open-access</x:v>
      </x:c>
      <x:c r="O25" s="100" t="str">
        <x:v>https://www.metmuseum.org/about-the-met/policies-and-documents/open-access</x:v>
      </x:c>
      <x:c r="P25" s="100" t="str">
        <x:v>2026-08-12</x:v>
      </x:c>
      <x:c r="Q25" s="104" t="str">
        <x:v>检索康熙雍正时期人物与宫廷相关对象</x:v>
      </x:c>
      <x:c r="R25" s="104" t="str">
        <x:v>RM</x:v>
      </x:c>
      <x:c r="S25" s="104" t="str">
        <x:v>已核查</x:v>
      </x:c>
    </x:row>
    <x:row r="26" ht="52" customHeight="1">
      <x:c r="A26" s="100" t="str">
        <x:v>SRC-022</x:v>
      </x:c>
      <x:c r="B26" s="100" t="str">
        <x:v>史密森学会 Open Access</x:v>
      </x:c>
      <x:c r="C26" s="100" t="str">
        <x:v>博物馆与档案开放图像</x:v>
      </x:c>
      <x:c r="D26" s="100" t="str">
        <x:v>视对象而定</x:v>
      </x:c>
      <x:c r="E26" s="100" t="str">
        <x:v>明确标记 CC0 的亚洲艺术与历史资源</x:v>
      </x:c>
      <x:c r="F26" s="100" t="str">
        <x:v>开放下载与 API</x:v>
      </x:c>
      <x:c r="G26" s="100" t="str">
        <x:v>绿</x:v>
      </x:c>
      <x:c r="H26" s="100" t="str">
        <x:v>是但限 CC0 对象</x:v>
      </x:c>
      <x:c r="I26" s="100" t="str">
        <x:v>是</x:v>
      </x:c>
      <x:c r="J26" s="100" t="str">
        <x:v>是</x:v>
      </x:c>
      <x:c r="K26" s="100" t="str">
        <x:v>按 CC0 与对象页标记判断</x:v>
      </x:c>
      <x:c r="L26" s="100" t="str">
        <x:v>作为跨馆藏图像补充并保留对象 ID</x:v>
      </x:c>
      <x:c r="M26" s="100" t="str">
        <x:v>并非全部史密森资源均为 CC0</x:v>
      </x:c>
      <x:c r="N26" s="100" t="str">
        <x:v>https://www.si.edu/openaccess</x:v>
      </x:c>
      <x:c r="O26" s="100" t="str">
        <x:v>https://www.si.edu/openaccess</x:v>
      </x:c>
      <x:c r="P26" s="100" t="str">
        <x:v>2026-08-12</x:v>
      </x:c>
      <x:c r="Q26" s="104" t="str">
        <x:v>检索 Phase 0 可用清代相关资源</x:v>
      </x:c>
      <x:c r="R26" s="104" t="str">
        <x:v>RM</x:v>
      </x:c>
      <x:c r="S26" s="104" t="str">
        <x:v>已核查</x:v>
      </x:c>
    </x:row>
    <x:row r="27" ht="52" customHeight="1">
      <x:c r="A27" s="100" t="str">
        <x:v>SRC-023</x:v>
      </x:c>
      <x:c r="B27" s="100" t="str">
        <x:v>美国国会图书馆清代相关馆藏</x:v>
      </x:c>
      <x:c r="C27" s="100" t="str">
        <x:v>图书与图像馆藏</x:v>
      </x:c>
      <x:c r="D27" s="100" t="str">
        <x:v>视对象而定</x:v>
      </x:c>
      <x:c r="E27" s="100" t="str">
        <x:v>清代书籍地图照片与版画目录</x:v>
      </x:c>
      <x:c r="F27" s="100" t="str">
        <x:v>线上检索与部分下载</x:v>
      </x:c>
      <x:c r="G27" s="100" t="str">
        <x:v>黄</x:v>
      </x:c>
      <x:c r="H27" s="100" t="str">
        <x:v>按对象权利声明</x:v>
      </x:c>
      <x:c r="I27" s="100" t="str">
        <x:v>按对象权利声明</x:v>
      </x:c>
      <x:c r="J27" s="100" t="str">
        <x:v>按对象权利声明</x:v>
      </x:c>
      <x:c r="K27" s="100" t="str">
        <x:v>按对象权利声明</x:v>
      </x:c>
      <x:c r="L27" s="100" t="str">
        <x:v>只用有明确 Rights and Access 说明的对象</x:v>
      </x:c>
      <x:c r="M27" s="100" t="str">
        <x:v>国会图书馆不替所有对象统一保证公版</x:v>
      </x:c>
      <x:c r="N27" s="100" t="str">
        <x:v>https://www.loc.gov/item/05033666/</x:v>
      </x:c>
      <x:c r="O27" s="100" t="str">
        <x:v>https://www.loc.gov/legal/</x:v>
      </x:c>
      <x:c r="P27" s="100" t="str">
        <x:v>2026-08-12</x:v>
      </x:c>
      <x:c r="Q27" s="104" t="str">
        <x:v>为候选对象保存逐件权利截图与核查日期</x:v>
      </x:c>
      <x:c r="R27" s="104" t="str">
        <x:v>RM</x:v>
      </x:c>
      <x:c r="S27" s="104" t="str">
        <x:v>待逐件核查</x:v>
      </x:c>
    </x:row>
    <x:row r="28" ht="52" customHeight="1">
      <x:c r="A28" s="100" t="str">
        <x:v>SRC-024</x:v>
      </x:c>
      <x:c r="B28" s="100" t="str">
        <x:v>国家图书馆中华古籍资源库与数字方志</x:v>
      </x:c>
      <x:c r="C28" s="100" t="str">
        <x:v>古籍与地方文献数字资源</x:v>
      </x:c>
      <x:c r="D28" s="100" t="str">
        <x:v>B</x:v>
      </x:c>
      <x:c r="E28" s="100" t="str">
        <x:v>清代地方志与古籍影像目录</x:v>
      </x:c>
      <x:c r="F28" s="100" t="str">
        <x:v>线上检索；部分资源受访问限制</x:v>
      </x:c>
      <x:c r="G28" s="100" t="str">
        <x:v>黄</x:v>
      </x:c>
      <x:c r="H28" s="100" t="str">
        <x:v>仅保存自建元数据与必要引文</x:v>
      </x:c>
      <x:c r="I28" s="100" t="str">
        <x:v>外链或使用获准内容</x:v>
      </x:c>
      <x:c r="J28" s="100" t="str">
        <x:v>待核权</x:v>
      </x:c>
      <x:c r="K28" s="100" t="str">
        <x:v>否</x:v>
      </x:c>
      <x:c r="L28" s="100" t="str">
        <x:v>补充地方人物事件与制度背景</x:v>
      </x:c>
      <x:c r="M28" s="100" t="str">
        <x:v>古籍年代与数字影像权利是两层问题</x:v>
      </x:c>
      <x:c r="N28" s="100" t="str">
        <x:v>https://read.nlc.cn/allSearch/searchList?pageNo=1&amp;searchType=12&amp;showType=1</x:v>
      </x:c>
      <x:c r="O28" s="100" t="str">
        <x:v>https://www.nlc.cn/</x:v>
      </x:c>
      <x:c r="P28" s="100" t="str">
        <x:v>2026-08-12</x:v>
      </x:c>
      <x:c r="Q28" s="104" t="str">
        <x:v>建立与皇族活动地点相关的方志清单</x:v>
      </x:c>
      <x:c r="R28" s="104" t="str">
        <x:v>AH</x:v>
      </x:c>
      <x:c r="S28" s="104" t="str">
        <x:v>待核查</x:v>
      </x:c>
    </x:row>
    <x:row r="29" ht="52" customHeight="1">
      <x:c r="A29" s="100" t="str">
        <x:v>SRC-025</x:v>
      </x:c>
      <x:c r="B29" s="100" t="str">
        <x:v>《清史稿》各版本</x:v>
      </x:c>
      <x:c r="C29" s="100" t="str">
        <x:v>后出纪传体史书</x:v>
      </x:c>
      <x:c r="D29" s="100" t="str">
        <x:v>C</x:v>
      </x:c>
      <x:c r="E29" s="100" t="str">
        <x:v>帝后皇子列传与制度汇总</x:v>
      </x:c>
      <x:c r="F29" s="100" t="str">
        <x:v>图书馆与多个数字平台</x:v>
      </x:c>
      <x:c r="G29" s="100" t="str">
        <x:v>黄</x:v>
      </x:c>
      <x:c r="H29" s="100" t="str">
        <x:v>仅对明确公版底本保存影像与转录</x:v>
      </x:c>
      <x:c r="I29" s="100" t="str">
        <x:v>公版底本可展示；现代点校本另核权</x:v>
      </x:c>
      <x:c r="J29" s="100" t="str">
        <x:v>取决于具体版本</x:v>
      </x:c>
      <x:c r="K29" s="100" t="str">
        <x:v>取决于具体版本</x:v>
      </x:c>
      <x:c r="L29" s="100" t="str">
        <x:v>登记到具体底本并标注未定稿性质</x:v>
      </x:c>
      <x:c r="M29" s="100" t="str">
        <x:v>成书仓促且有错误矛盾；只能作线索和一类后出证据</x:v>
      </x:c>
      <x:c r="N29" s="100" t="str">
        <x:v>https://ctext.org/wiki.pl?if=gb&amp;res=98755</x:v>
      </x:c>
      <x:c r="O29" s="100" t="str">
        <x:v>https://ctext.org/</x:v>
      </x:c>
      <x:c r="P29" s="100" t="str">
        <x:v>2026-08-12</x:v>
      </x:c>
      <x:c r="Q29" s="104" t="str">
        <x:v>确定 Phase 0 基准底本并建版本谱系</x:v>
      </x:c>
      <x:c r="R29" s="104" t="str">
        <x:v>AH</x:v>
      </x:c>
      <x:c r="S29" s="104" t="str">
        <x:v>待定版</x:v>
      </x:c>
    </x:row>
    <x:row r="30" ht="52" customHeight="1">
      <x:c r="A30" s="100" t="str">
        <x:v>SRC-026</x:v>
      </x:c>
      <x:c r="B30" s="100" t="str">
        <x:v>玉牒具体卷册与版本</x:v>
      </x:c>
      <x:c r="C30" s="100" t="str">
        <x:v>皇家谱牒</x:v>
      </x:c>
      <x:c r="D30" s="100" t="str">
        <x:v>A1</x:v>
      </x:c>
      <x:c r="E30" s="100" t="str">
        <x:v>宗室出生婚姻生母过继封爵等谱系信息</x:v>
      </x:c>
      <x:c r="F30" s="100" t="str">
        <x:v>档案馆或影印出版物</x:v>
      </x:c>
      <x:c r="G30" s="100" t="str">
        <x:v>黄</x:v>
      </x:c>
      <x:c r="H30" s="100" t="str">
        <x:v>取决于馆藏规则与具体版本</x:v>
      </x:c>
      <x:c r="I30" s="100" t="str">
        <x:v>取决于授权或公版状态</x:v>
      </x:c>
      <x:c r="J30" s="100" t="str">
        <x:v>取决于具体版本</x:v>
      </x:c>
      <x:c r="K30" s="100" t="str">
        <x:v>否</x:v>
      </x:c>
      <x:c r="L30" s="100" t="str">
        <x:v>一条关系必须记录玉牒版本卷页与编修时间</x:v>
      </x:c>
      <x:c r="M30" s="100" t="str">
        <x:v>不同修次与嫡庶生母养母过继不得压成静态家谱</x:v>
      </x:c>
      <x:c r="N30" s="100" t="str">
        <x:v>https://www.saac.gov.cn/daj/dawxyc/201201/d9e6e3e05d3b4cb698712b308fa09c1e.shtml</x:v>
      </x:c>
      <x:c r="O30" s="100" t="str">
        <x:v>https://fhac.com.cn/</x:v>
      </x:c>
      <x:c r="P30" s="100" t="str">
        <x:v>2026-08-15</x:v>
      </x:c>
      <x:c r="Q30" s="104" t="str">
        <x:v>版本级目录已立：1921（宣统十三）年玉牒藏一史馆、分满汉文本；康雍阶段具体卷册卷页与合法核验路径仍阻塞</x:v>
      </x:c>
      <x:c r="R30" s="104" t="str">
        <x:v>AH</x:v>
      </x:c>
      <x:c r="S30" s="104" t="str">
        <x:v>高优先阻塞</x:v>
      </x:c>
    </x:row>
    <x:row r="31" ht="52" customHeight="1">
      <x:c r="A31" s="100" t="str">
        <x:v>SRC-027</x:v>
      </x:c>
      <x:c r="B31" s="100" t="str">
        <x:v>韩国国史编纂委员会明清实录</x:v>
      </x:c>
      <x:c r="C31" s="100" t="str">
        <x:v>官修编年史数字文本与底本图像</x:v>
      </x:c>
      <x:c r="D31" s="100" t="str">
        <x:v>A2</x:v>
      </x:c>
      <x:c r="E31" s="100" t="str">
        <x:v>《清实录》逐日记录与所据写本说明</x:v>
      </x:c>
      <x:c r="F31" s="100" t="str">
        <x:v>线上免费浏览</x:v>
      </x:c>
      <x:c r="G31" s="100" t="str">
        <x:v>黄</x:v>
      </x:c>
      <x:c r="H31" s="100" t="str">
        <x:v>仅保存必要短引文定位与自建标注</x:v>
      </x:c>
      <x:c r="I31" s="100" t="str">
        <x:v>小段合理引文并链接原站</x:v>
      </x:c>
      <x:c r="J31" s="100" t="str">
        <x:v>待核权</x:v>
      </x:c>
      <x:c r="K31" s="100" t="str">
        <x:v>否</x:v>
      </x:c>
      <x:c r="L31" s="100" t="str">
        <x:v>用于精确到卷年月日和当日条次的来源回查</x:v>
      </x:c>
      <x:c r="M31" s="100" t="str">
        <x:v>平台说明可核底本但免费浏览不等于允许整库镜像</x:v>
      </x:c>
      <x:c r="N31" s="100" t="str">
        <x:v>https://sillok.history.go.kr/mc/main.do</x:v>
      </x:c>
      <x:c r="O31" s="100" t="str">
        <x:v>https://sillok.history.go.kr/mc/intro/notes.do</x:v>
      </x:c>
      <x:c r="P31" s="100" t="str">
        <x:v>2026-08-13</x:v>
      </x:c>
      <x:c r="Q31" s="104" t="str">
        <x:v>已拆卷1即位、卷56六月癸亥择吉、卷58十二月丙寅立太子、卷234初废条次、卷237复立、卷251再废两日、卷300崩逝与遗诏；起居注入口已登记IDX-039，原文未打开</x:v>
      </x:c>
      <x:c r="R31" s="104" t="str">
        <x:v>AI</x:v>
      </x:c>
      <x:c r="S31" s="104" t="str">
        <x:v>已核查</x:v>
      </x:c>
    </x:row>
  </x:sheetData>
  <x:mergeCells>
    <x:mergeCell ref="A1:S1"/>
    <x:mergeCell ref="A2:S2"/>
  </x:mergeCells>
  <x:conditionalFormatting sqref="G5:G31">
    <x:cfRule type="containsText" dxfId="42" priority="1" operator="containsText" text="绿"/>
    <x:cfRule type="containsText" dxfId="43" priority="2" operator="containsText" text="黄"/>
    <x:cfRule type="containsText" dxfId="44" priority="3" operator="containsText" text="红"/>
  </x:conditionalFormatting>
  <x:conditionalFormatting sqref="S5:S31">
    <x:cfRule type="containsText" dxfId="45" priority="4" operator="containsText" text="已完成"/>
    <x:cfRule type="containsText" dxfId="46" priority="5" operator="containsText" text="已通过"/>
    <x:cfRule type="containsText" dxfId="47" priority="6" operator="containsText" text="进行中"/>
    <x:cfRule type="containsText" dxfId="48" priority="7" operator="containsText" text="待审核"/>
    <x:cfRule type="containsText" dxfId="49" priority="8" operator="containsText" text="阻塞"/>
  </x:conditionalFormatting>
  <x:dataValidations count="1">
    <x:dataValidation type="list" sqref="G5:G31">
      <x:formula1>"绿,黄,红"</x:formula1>
    </x:dataValidation>
  </x:dataValidations>
  <x:pageMargins left="0.7" right="0.7" top="0.75" bottom="0.75" header="0.3" footer="0.3"/>
  <x:legacyDrawing xmlns:r="http://schemas.openxmlformats.org/officeDocument/2006/relationships" r:id="R7be1cea3cfa9404c"/>
  <x:tableParts count="1">
    <x:tablePart xmlns:r="http://schemas.openxmlformats.org/officeDocument/2006/relationships" r:id="Rc1507fc798c7485f"/>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25" hidden="0" customWidth="1"/>
    <x:col min="5" max="5" width="30" hidden="0" customWidth="1"/>
    <x:col min="6" max="6" width="24" hidden="0" customWidth="1"/>
    <x:col min="7" max="7" width="13" hidden="0" customWidth="1"/>
    <x:col min="8" max="8" width="13" hidden="0" customWidth="1"/>
    <x:col min="9" max="9" width="13" hidden="0" customWidth="1"/>
    <x:col min="10" max="10" width="13" hidden="0" customWidth="1"/>
    <x:col min="11" max="11" width="18" hidden="0" customWidth="1"/>
    <x:col min="12" max="12" width="40" hidden="0" customWidth="1"/>
    <x:col min="13" max="13" width="55" hidden="0" customWidth="1"/>
    <x:col min="14" max="14" width="13" hidden="0" customWidth="1"/>
    <x:col min="15" max="15" width="16" hidden="0" customWidth="1"/>
    <x:col min="16" max="16" width="14" hidden="0" customWidth="1"/>
    <x:col min="17" max="17" width="18" hidden="0" customWidth="1"/>
    <x:col min="18" max="18" width="16" hidden="0" customWidth="1"/>
    <x:col min="19" max="19" width="18" hidden="0" customWidth="1"/>
    <x:col min="20" max="20" width="14" hidden="0" customWidth="1"/>
    <x:col min="21" max="21" width="14" hidden="0" customWidth="1"/>
    <x:col min="22" max="22" width="13" hidden="0" customWidth="1"/>
    <x:col min="23" max="23" width="40" hidden="0" customWidth="1"/>
  </x:cols>
  <x:sheetData>
    <x:row r="1" ht="34" customHeight="1">
      <x:c r="A1" s="3" t="str">
        <x:v>主张工作台</x:v>
      </x:c>
    </x:row>
    <x:row r="2" ht="24" customHeight="1">
      <x:c r="A2" s="6" t="str">
        <x:v>一行一条可争议、可审核、可替换的原子主张；从 data-manifest 自动合并 4 个帝王包，共 185 条。</x:v>
      </x:c>
    </x:row>
    <x:row r="4" ht="32" customHeight="1">
      <x:c r="A4" s="92" t="str">
        <x:v>Assertion ID</x:v>
      </x:c>
      <x:c r="B4" s="93" t="str">
        <x:v>主张类型</x:v>
      </x:c>
      <x:c r="C4" s="93" t="str">
        <x:v>主体 ID</x:v>
      </x:c>
      <x:c r="D4" s="93" t="str">
        <x:v>谓词/关系</x:v>
      </x:c>
      <x:c r="E4" s="93" t="str">
        <x:v>客体 ID 或值</x:v>
      </x:c>
      <x:c r="F4" s="93" t="str">
        <x:v>原始时间表达</x:v>
      </x:c>
      <x:c r="G4" s="93" t="str">
        <x:v>公历下界</x:v>
      </x:c>
      <x:c r="H4" s="93" t="str">
        <x:v>公历上界</x:v>
      </x:c>
      <x:c r="I4" s="93" t="str">
        <x:v>确定性</x:v>
      </x:c>
      <x:c r="J4" s="93" t="str">
        <x:v>状态</x:v>
      </x:c>
      <x:c r="K4" s="93" t="str">
        <x:v>来源实体 ID</x:v>
      </x:c>
      <x:c r="L4" s="93" t="str">
        <x:v>卷页/档号/图像定位</x:v>
      </x:c>
      <x:c r="M4" s="93" t="str">
        <x:v>支持引文</x:v>
      </x:c>
      <x:c r="N4" s="93" t="str">
        <x:v>证据立场</x:v>
      </x:c>
      <x:c r="O4" s="93" t="str">
        <x:v>证据直接性</x:v>
      </x:c>
      <x:c r="P4" s="93" t="str">
        <x:v>证据强度</x:v>
      </x:c>
      <x:c r="Q4" s="93" t="str">
        <x:v>来源家族 ID</x:v>
      </x:c>
      <x:c r="R4" s="93" t="str">
        <x:v>冲突组 ID</x:v>
      </x:c>
      <x:c r="S4" s="93" t="str">
        <x:v>获取方式</x:v>
      </x:c>
      <x:c r="T4" s="93" t="str">
        <x:v>录入人</x:v>
      </x:c>
      <x:c r="U4" s="93" t="str">
        <x:v>复核人</x:v>
      </x:c>
      <x:c r="V4" s="93" t="str">
        <x:v>复核日期</x:v>
      </x:c>
      <x:c r="W4" s="94" t="str">
        <x:v>编辑备注</x:v>
      </x:c>
    </x:row>
    <x:row r="5" ht="34" customHeight="1">
      <x:c r="A5" s="99" t="str">
        <x:v>QH-A-KX-0001</x:v>
      </x:c>
      <x:c r="B5" s="99" t="str">
        <x:v>事件发生</x:v>
      </x:c>
      <x:c r="C5" s="99" t="str">
        <x:v>QH-P-000001</x:v>
      </x:c>
      <x:c r="D5" s="99" t="str">
        <x:v>accession_occurred</x:v>
      </x:c>
      <x:c r="E5" s="99" t="str">
        <x:v>即皇帝位</x:v>
      </x:c>
      <x:c r="F5" s="99" t="str">
        <x:v>顺治十八年正月初九日</x:v>
      </x:c>
      <x:c r="G5" s="107" t="str">
        <x:v>1661-02-07</x:v>
      </x:c>
      <x:c r="H5" s="107" t="str">
        <x:v>1661-02-07</x:v>
      </x:c>
      <x:c r="I5" s="99" t="str">
        <x:v>确定</x:v>
      </x:c>
      <x:c r="J5" s="99" t="str">
        <x:v>审核中</x:v>
      </x:c>
      <x:c r="K5" s="99" t="str">
        <x:v>QH-SU-KX-0001</x:v>
      </x:c>
      <x:c r="L5" s="99" t="str">
        <x:v>卷1；顺治十八年正月初九日；1/3</x:v>
      </x:c>
      <x:c r="M5" s="99" t="str">
        <x:v>上即皇帝位</x:v>
      </x:c>
      <x:c r="N5" s="99" t="str">
        <x:v>支持</x:v>
      </x:c>
      <x:c r="O5" s="99" t="str">
        <x:v>明确记载</x:v>
      </x:c>
      <x:c r="P5" s="99" t="str">
        <x:v>强</x:v>
      </x:c>
      <x:c r="Q5" s="99" t="str">
        <x:v>QH-SF-QSL-KX</x:v>
      </x:c>
      <x:c r="R5" s="99" t="str"/>
      <x:c r="S5" s="99" t="str">
        <x:v>结构化导入</x:v>
      </x:c>
      <x:c r="T5" s="99" t="str">
        <x:v>AI</x:v>
      </x:c>
      <x:c r="U5" s="99" t="str"/>
      <x:c r="V5" s="107" t="str"/>
      <x:c r="W5" s="99" t="str">
        <x:v>只证明该实录版本的即位记录；公历日级对照为1661-02-07；韩国页面仅标1661年；换算依通行年表，待独立历法库复核</x:v>
      </x:c>
    </x:row>
    <x:row r="6" ht="34" customHeight="1">
      <x:c r="A6" s="100" t="str">
        <x:v>QH-A-KX-0002</x:v>
      </x:c>
      <x:c r="B6" s="100" t="str">
        <x:v>文字或数值陈述</x:v>
      </x:c>
      <x:c r="C6" s="100" t="str">
        <x:v>QH-P-000001</x:v>
      </x:c>
      <x:c r="D6" s="100" t="str">
        <x:v>ritual_self_designation</x:v>
      </x:c>
      <x:c r="E6" s="100" t="str">
        <x:v>皇太子臣玄烨</x:v>
      </x:c>
      <x:c r="F6" s="100" t="str">
        <x:v>顺治十八年正月初九日</x:v>
      </x:c>
      <x:c r="G6" s="108" t="str">
        <x:v>1661-02-07</x:v>
      </x:c>
      <x:c r="H6" s="108" t="str">
        <x:v>1661-02-07</x:v>
      </x:c>
      <x:c r="I6" s="100" t="str">
        <x:v>确定</x:v>
      </x:c>
      <x:c r="J6" s="100" t="str">
        <x:v>审核中</x:v>
      </x:c>
      <x:c r="K6" s="100" t="str">
        <x:v>QH-SU-KX-0001</x:v>
      </x:c>
      <x:c r="L6" s="100" t="str">
        <x:v>卷1；祭告昊天祝文</x:v>
      </x:c>
      <x:c r="M6" s="100" t="str">
        <x:v>皇太子臣玄燁</x:v>
      </x:c>
      <x:c r="N6" s="100" t="str">
        <x:v>支持</x:v>
      </x:c>
      <x:c r="O6" s="100" t="str">
        <x:v>明确记载</x:v>
      </x:c>
      <x:c r="P6" s="100" t="str">
        <x:v>强</x:v>
      </x:c>
      <x:c r="Q6" s="100" t="str">
        <x:v>QH-SF-QSL-KX</x:v>
      </x:c>
      <x:c r="R6" s="100" t="str"/>
      <x:c r="S6" s="100" t="str">
        <x:v>结构化导入</x:v>
      </x:c>
      <x:c r="T6" s="100" t="str">
        <x:v>AI</x:v>
      </x:c>
      <x:c r="U6" s="100" t="str"/>
      <x:c r="V6" s="108" t="str"/>
      <x:c r="W6" s="100" t="str">
        <x:v>记录祝文中的当时自称；不是永久称号；公历日级对照为1661-02-07；韩国页面仅标1661年；换算依通行年表，待独立历法库复核</x:v>
      </x:c>
    </x:row>
    <x:row r="7" ht="34" customHeight="1">
      <x:c r="A7" s="100" t="str">
        <x:v>QH-A-KX-0003</x:v>
      </x:c>
      <x:c r="B7" s="100" t="str">
        <x:v>文字或数值陈述</x:v>
      </x:c>
      <x:c r="C7" s="100" t="str">
        <x:v>QH-P-000001</x:v>
      </x:c>
      <x:c r="D7" s="100" t="str">
        <x:v>accession_justification</x:v>
      </x:c>
      <x:c r="E7" s="100" t="str">
        <x:v>恪遵遗诏并俯徇舆情</x:v>
      </x:c>
      <x:c r="F7" s="100" t="str">
        <x:v>顺治十八年正月初九日</x:v>
      </x:c>
      <x:c r="G7" s="108" t="str">
        <x:v>1661-02-07</x:v>
      </x:c>
      <x:c r="H7" s="108" t="str">
        <x:v>1661-02-07</x:v>
      </x:c>
      <x:c r="I7" s="100" t="str">
        <x:v>确定</x:v>
      </x:c>
      <x:c r="J7" s="100" t="str">
        <x:v>审核中</x:v>
      </x:c>
      <x:c r="K7" s="100" t="str">
        <x:v>QH-SU-KX-0001</x:v>
      </x:c>
      <x:c r="L7" s="100" t="str">
        <x:v>卷1；祭告昊天祝文</x:v>
      </x:c>
      <x:c r="M7" s="100" t="str">
        <x:v>臣恪遵遺詔</x:v>
      </x:c>
      <x:c r="N7" s="100" t="str">
        <x:v>支持</x:v>
      </x:c>
      <x:c r="O7" s="100" t="str">
        <x:v>明确记载</x:v>
      </x:c>
      <x:c r="P7" s="100" t="str">
        <x:v>强</x:v>
      </x:c>
      <x:c r="Q7" s="100" t="str">
        <x:v>QH-SF-QSL-KX</x:v>
      </x:c>
      <x:c r="R7" s="100" t="str"/>
      <x:c r="S7" s="100" t="str">
        <x:v>结构化导入</x:v>
      </x:c>
      <x:c r="T7" s="100" t="str">
        <x:v>AI</x:v>
      </x:c>
      <x:c r="U7" s="100" t="str"/>
      <x:c r="V7" s="108" t="str"/>
      <x:c r="W7" s="100" t="str">
        <x:v>这是即位文本的制度性自述；遗诏原件和形成过程另建证据；公历日级对照为1661-02-07；韩国页面仅标1661年；换算依通行年表，待独立历法库复核</x:v>
      </x:c>
    </x:row>
    <x:row r="8" ht="34" customHeight="1">
      <x:c r="A8" s="100" t="str">
        <x:v>QH-A-KX-0004</x:v>
      </x:c>
      <x:c r="B8" s="100" t="str">
        <x:v>事件参与</x:v>
      </x:c>
      <x:c r="C8" s="100" t="str">
        <x:v>QH-P-000001</x:v>
      </x:c>
      <x:c r="D8" s="100" t="str">
        <x:v>delegated_heaven_announcement</x:v>
      </x:c>
      <x:c r="E8" s="100" t="str">
        <x:v>穆琛祭告昊天上帝</x:v>
      </x:c>
      <x:c r="F8" s="100" t="str">
        <x:v>顺治十八年正月初九日黎明</x:v>
      </x:c>
      <x:c r="G8" s="108" t="str">
        <x:v>1661-02-07</x:v>
      </x:c>
      <x:c r="H8" s="108" t="str">
        <x:v>1661-02-07</x:v>
      </x:c>
      <x:c r="I8" s="100" t="str">
        <x:v>确定</x:v>
      </x:c>
      <x:c r="J8" s="100" t="str">
        <x:v>审核中</x:v>
      </x:c>
      <x:c r="K8" s="100" t="str">
        <x:v>QH-SU-KX-0001</x:v>
      </x:c>
      <x:c r="L8" s="100" t="str">
        <x:v>卷1；即位礼仪段</x:v>
      </x:c>
      <x:c r="M8" s="100" t="str">
        <x:v>穆琛祭告昊天上帝</x:v>
      </x:c>
      <x:c r="N8" s="100" t="str">
        <x:v>支持</x:v>
      </x:c>
      <x:c r="O8" s="100" t="str">
        <x:v>明确记载</x:v>
      </x:c>
      <x:c r="P8" s="100" t="str">
        <x:v>强</x:v>
      </x:c>
      <x:c r="Q8" s="100" t="str">
        <x:v>QH-SF-QSL-KX</x:v>
      </x:c>
      <x:c r="R8" s="100" t="str"/>
      <x:c r="S8" s="100" t="str">
        <x:v>结构化导入</x:v>
      </x:c>
      <x:c r="T8" s="100" t="str">
        <x:v>AI</x:v>
      </x:c>
      <x:c r="U8" s="100" t="str"/>
      <x:c r="V8" s="108" t="str"/>
      <x:c r="W8" s="100" t="str">
        <x:v>穆琛尚未建立稳定人物ID；暂存字面值；公历日级对照为1661-02-07；韩国页面仅标1661年；换算依通行年表，待独立历法库复核</x:v>
      </x:c>
    </x:row>
    <x:row r="9" ht="34" customHeight="1">
      <x:c r="A9" s="100" t="str">
        <x:v>QH-A-KX-0005</x:v>
      </x:c>
      <x:c r="B9" s="100" t="str">
        <x:v>事件参与</x:v>
      </x:c>
      <x:c r="C9" s="100" t="str">
        <x:v>QH-P-000001</x:v>
      </x:c>
      <x:c r="D9" s="100" t="str">
        <x:v>delegated_earth_announcement</x:v>
      </x:c>
      <x:c r="E9" s="100" t="str">
        <x:v>济世哈告地祇</x:v>
      </x:c>
      <x:c r="F9" s="100" t="str">
        <x:v>顺治十八年正月初九日</x:v>
      </x:c>
      <x:c r="G9" s="108" t="str">
        <x:v>1661-02-07</x:v>
      </x:c>
      <x:c r="H9" s="108" t="str">
        <x:v>1661-02-07</x:v>
      </x:c>
      <x:c r="I9" s="100" t="str">
        <x:v>确定</x:v>
      </x:c>
      <x:c r="J9" s="100" t="str">
        <x:v>审核中</x:v>
      </x:c>
      <x:c r="K9" s="100" t="str">
        <x:v>QH-SU-KX-0001</x:v>
      </x:c>
      <x:c r="L9" s="100" t="str">
        <x:v>卷1；即位礼仪段</x:v>
      </x:c>
      <x:c r="M9" s="100" t="str">
        <x:v>濟世哈告地祇</x:v>
      </x:c>
      <x:c r="N9" s="100" t="str">
        <x:v>支持</x:v>
      </x:c>
      <x:c r="O9" s="100" t="str">
        <x:v>明确记载</x:v>
      </x:c>
      <x:c r="P9" s="100" t="str">
        <x:v>强</x:v>
      </x:c>
      <x:c r="Q9" s="100" t="str">
        <x:v>QH-SF-QSL-KX</x:v>
      </x:c>
      <x:c r="R9" s="100" t="str"/>
      <x:c r="S9" s="100" t="str">
        <x:v>结构化导入</x:v>
      </x:c>
      <x:c r="T9" s="100" t="str">
        <x:v>AI</x:v>
      </x:c>
      <x:c r="U9" s="100" t="str"/>
      <x:c r="V9" s="108" t="str"/>
      <x:c r="W9" s="100" t="str">
        <x:v>济世哈尚未建立稳定人物ID；暂存字面值；公历日级对照为1661-02-07；韩国页面仅标1661年；换算依通行年表，待独立历法库复核</x:v>
      </x:c>
    </x:row>
    <x:row r="10" ht="34" customHeight="1">
      <x:c r="A10" s="100" t="str">
        <x:v>QH-A-KX-0006</x:v>
      </x:c>
      <x:c r="B10" s="100" t="str">
        <x:v>事件参与</x:v>
      </x:c>
      <x:c r="C10" s="100" t="str">
        <x:v>QH-P-000001</x:v>
      </x:c>
      <x:c r="D10" s="100" t="str">
        <x:v>delegated_ancestral_temple_announcement</x:v>
      </x:c>
      <x:c r="E10" s="100" t="str">
        <x:v>穆里玛告太庙</x:v>
      </x:c>
      <x:c r="F10" s="100" t="str">
        <x:v>顺治十八年正月初九日</x:v>
      </x:c>
      <x:c r="G10" s="108" t="str">
        <x:v>1661-02-07</x:v>
      </x:c>
      <x:c r="H10" s="108" t="str">
        <x:v>1661-02-07</x:v>
      </x:c>
      <x:c r="I10" s="100" t="str">
        <x:v>确定</x:v>
      </x:c>
      <x:c r="J10" s="100" t="str">
        <x:v>审核中</x:v>
      </x:c>
      <x:c r="K10" s="100" t="str">
        <x:v>QH-SU-KX-0001</x:v>
      </x:c>
      <x:c r="L10" s="100" t="str">
        <x:v>卷1；即位礼仪段</x:v>
      </x:c>
      <x:c r="M10" s="100" t="str">
        <x:v>穆里瑪告太廟</x:v>
      </x:c>
      <x:c r="N10" s="100" t="str">
        <x:v>支持</x:v>
      </x:c>
      <x:c r="O10" s="100" t="str">
        <x:v>明确记载</x:v>
      </x:c>
      <x:c r="P10" s="100" t="str">
        <x:v>强</x:v>
      </x:c>
      <x:c r="Q10" s="100" t="str">
        <x:v>QH-SF-QSL-KX</x:v>
      </x:c>
      <x:c r="R10" s="100" t="str"/>
      <x:c r="S10" s="100" t="str">
        <x:v>结构化导入</x:v>
      </x:c>
      <x:c r="T10" s="100" t="str">
        <x:v>AI</x:v>
      </x:c>
      <x:c r="U10" s="100" t="str"/>
      <x:c r="V10" s="108" t="str"/>
      <x:c r="W10" s="100" t="str">
        <x:v>穆里玛尚未建立稳定人物ID；暂存字面值；公历日级对照为1661-02-07；韩国页面仅标1661年；换算依通行年表，待独立历法库复核</x:v>
      </x:c>
    </x:row>
    <x:row r="11" ht="34" customHeight="1">
      <x:c r="A11" s="100" t="str">
        <x:v>QH-A-KX-0007</x:v>
      </x:c>
      <x:c r="B11" s="100" t="str">
        <x:v>事件参与</x:v>
      </x:c>
      <x:c r="C11" s="100" t="str">
        <x:v>QH-P-000001</x:v>
      </x:c>
      <x:c r="D11" s="100" t="str">
        <x:v>delegated_altars_announcement</x:v>
      </x:c>
      <x:c r="E11" s="100" t="str">
        <x:v>明安达礼告社稷</x:v>
      </x:c>
      <x:c r="F11" s="100" t="str">
        <x:v>顺治十八年正月初九日</x:v>
      </x:c>
      <x:c r="G11" s="108" t="str">
        <x:v>1661-02-07</x:v>
      </x:c>
      <x:c r="H11" s="108" t="str">
        <x:v>1661-02-07</x:v>
      </x:c>
      <x:c r="I11" s="100" t="str">
        <x:v>确定</x:v>
      </x:c>
      <x:c r="J11" s="100" t="str">
        <x:v>审核中</x:v>
      </x:c>
      <x:c r="K11" s="100" t="str">
        <x:v>QH-SU-KX-0001</x:v>
      </x:c>
      <x:c r="L11" s="100" t="str">
        <x:v>卷1；即位礼仪段</x:v>
      </x:c>
      <x:c r="M11" s="100" t="str">
        <x:v>明安達禮告社稷</x:v>
      </x:c>
      <x:c r="N11" s="100" t="str">
        <x:v>支持</x:v>
      </x:c>
      <x:c r="O11" s="100" t="str">
        <x:v>明确记载</x:v>
      </x:c>
      <x:c r="P11" s="100" t="str">
        <x:v>强</x:v>
      </x:c>
      <x:c r="Q11" s="100" t="str">
        <x:v>QH-SF-QSL-KX</x:v>
      </x:c>
      <x:c r="R11" s="100" t="str"/>
      <x:c r="S11" s="100" t="str">
        <x:v>结构化导入</x:v>
      </x:c>
      <x:c r="T11" s="100" t="str">
        <x:v>AI</x:v>
      </x:c>
      <x:c r="U11" s="100" t="str"/>
      <x:c r="V11" s="108" t="str"/>
      <x:c r="W11" s="100" t="str">
        <x:v>明安达礼尚未建立稳定人物ID；暂存字面值；公历日级对照为1661-02-07；韩国页面仅标1661年；换算依通行年表，待独立历法库复核</x:v>
      </x:c>
    </x:row>
    <x:row r="12" ht="34" customHeight="1">
      <x:c r="A12" s="100" t="str">
        <x:v>QH-A-KX-0008</x:v>
      </x:c>
      <x:c r="B12" s="100" t="str">
        <x:v>事件发生</x:v>
      </x:c>
      <x:c r="C12" s="100" t="str">
        <x:v>QH-P-000001</x:v>
      </x:c>
      <x:c r="D12" s="100" t="str">
        <x:v>performed_mourning_ritual</x:v>
      </x:c>
      <x:c r="E12" s="100" t="str">
        <x:v>在大行皇帝几筵前行三跪九叩礼</x:v>
      </x:c>
      <x:c r="F12" s="100" t="str">
        <x:v>顺治十八年正月初九日</x:v>
      </x:c>
      <x:c r="G12" s="108" t="str">
        <x:v>1661-02-07</x:v>
      </x:c>
      <x:c r="H12" s="108" t="str">
        <x:v>1661-02-07</x:v>
      </x:c>
      <x:c r="I12" s="100" t="str">
        <x:v>确定</x:v>
      </x:c>
      <x:c r="J12" s="100" t="str">
        <x:v>审核中</x:v>
      </x:c>
      <x:c r="K12" s="100" t="str">
        <x:v>QH-SU-KX-0001</x:v>
      </x:c>
      <x:c r="L12" s="100" t="str">
        <x:v>卷1；即位礼仪段</x:v>
      </x:c>
      <x:c r="M12" s="100" t="str">
        <x:v>行三跪九叩禮</x:v>
      </x:c>
      <x:c r="N12" s="100" t="str">
        <x:v>支持</x:v>
      </x:c>
      <x:c r="O12" s="100" t="str">
        <x:v>明确记载</x:v>
      </x:c>
      <x:c r="P12" s="100" t="str">
        <x:v>强</x:v>
      </x:c>
      <x:c r="Q12" s="100" t="str">
        <x:v>QH-SF-QSL-KX</x:v>
      </x:c>
      <x:c r="R12" s="100" t="str"/>
      <x:c r="S12" s="100" t="str">
        <x:v>结构化导入</x:v>
      </x:c>
      <x:c r="T12" s="100" t="str">
        <x:v>AI</x:v>
      </x:c>
      <x:c r="U12" s="100" t="str"/>
      <x:c r="V12" s="108" t="str"/>
      <x:c r="W12" s="100" t="str">
        <x:v>礼仪动作与政治继承事件分层保存；公历日级对照为1661-02-07；韩国页面仅标1661年；换算依通行年表，待独立历法库复核</x:v>
      </x:c>
    </x:row>
    <x:row r="13" ht="34" customHeight="1">
      <x:c r="A13" s="100" t="str">
        <x:v>QH-A-KX-0009</x:v>
      </x:c>
      <x:c r="B13" s="100" t="str">
        <x:v>事件发生</x:v>
      </x:c>
      <x:c r="C13" s="100" t="str">
        <x:v>QH-P-000001</x:v>
      </x:c>
      <x:c r="D13" s="100" t="str">
        <x:v>paid_respects_to_empress_dowager</x:v>
      </x:c>
      <x:c r="E13" s="100" t="str">
        <x:v>赴皇太后宫行礼</x:v>
      </x:c>
      <x:c r="F13" s="100" t="str">
        <x:v>顺治十八年正月初九日</x:v>
      </x:c>
      <x:c r="G13" s="108" t="str">
        <x:v>1661-02-07</x:v>
      </x:c>
      <x:c r="H13" s="108" t="str">
        <x:v>1661-02-07</x:v>
      </x:c>
      <x:c r="I13" s="100" t="str">
        <x:v>确定</x:v>
      </x:c>
      <x:c r="J13" s="100" t="str">
        <x:v>审核中</x:v>
      </x:c>
      <x:c r="K13" s="100" t="str">
        <x:v>QH-SU-KX-0001</x:v>
      </x:c>
      <x:c r="L13" s="100" t="str">
        <x:v>卷1；即位礼仪段</x:v>
      </x:c>
      <x:c r="M13" s="100" t="str">
        <x:v>詣皇太后宮行禮</x:v>
      </x:c>
      <x:c r="N13" s="100" t="str">
        <x:v>支持</x:v>
      </x:c>
      <x:c r="O13" s="100" t="str">
        <x:v>明确记载</x:v>
      </x:c>
      <x:c r="P13" s="100" t="str">
        <x:v>强</x:v>
      </x:c>
      <x:c r="Q13" s="100" t="str">
        <x:v>QH-SF-QSL-KX</x:v>
      </x:c>
      <x:c r="R13" s="100" t="str"/>
      <x:c r="S13" s="100" t="str">
        <x:v>结构化导入</x:v>
      </x:c>
      <x:c r="T13" s="100" t="str">
        <x:v>AI</x:v>
      </x:c>
      <x:c r="U13" s="100" t="str"/>
      <x:c r="V13" s="108" t="str"/>
      <x:c r="W13" s="100" t="str">
        <x:v>该条本身未在此处展开皇太后具体人物认定；公历日级对照为1661-02-07；韩国页面仅标1661年；换算依通行年表，待独立历法库复核</x:v>
      </x:c>
    </x:row>
    <x:row r="14" ht="34" customHeight="1">
      <x:c r="A14" s="100" t="str">
        <x:v>QH-A-KX-0010</x:v>
      </x:c>
      <x:c r="B14" s="100" t="str">
        <x:v>事件发生</x:v>
      </x:c>
      <x:c r="C14" s="100" t="str">
        <x:v>QH-P-000001</x:v>
      </x:c>
      <x:c r="D14" s="100" t="str">
        <x:v>ascended_throne_at</x:v>
      </x:c>
      <x:c r="E14" s="100" t="str">
        <x:v>太和殿</x:v>
      </x:c>
      <x:c r="F14" s="100" t="str">
        <x:v>顺治十八年正月初九日</x:v>
      </x:c>
      <x:c r="G14" s="108" t="str">
        <x:v>1661-02-07</x:v>
      </x:c>
      <x:c r="H14" s="108" t="str">
        <x:v>1661-02-07</x:v>
      </x:c>
      <x:c r="I14" s="100" t="str">
        <x:v>确定</x:v>
      </x:c>
      <x:c r="J14" s="100" t="str">
        <x:v>审核中</x:v>
      </x:c>
      <x:c r="K14" s="100" t="str">
        <x:v>QH-SU-KX-0001</x:v>
      </x:c>
      <x:c r="L14" s="100" t="str">
        <x:v>卷1；即位礼仪段</x:v>
      </x:c>
      <x:c r="M14" s="100" t="str">
        <x:v>御太和殿陞寶座</x:v>
      </x:c>
      <x:c r="N14" s="100" t="str">
        <x:v>支持</x:v>
      </x:c>
      <x:c r="O14" s="100" t="str">
        <x:v>明确记载</x:v>
      </x:c>
      <x:c r="P14" s="100" t="str">
        <x:v>强</x:v>
      </x:c>
      <x:c r="Q14" s="100" t="str">
        <x:v>QH-SF-QSL-KX</x:v>
      </x:c>
      <x:c r="R14" s="100" t="str"/>
      <x:c r="S14" s="100" t="str">
        <x:v>结构化导入</x:v>
      </x:c>
      <x:c r="T14" s="100" t="str">
        <x:v>AI</x:v>
      </x:c>
      <x:c r="U14" s="100" t="str"/>
      <x:c r="V14" s="108" t="str"/>
      <x:c r="W14" s="100" t="str">
        <x:v>地点实体和建筑沿革待另建；公历日级对照为1661-02-07；韩国页面仅标1661年；换算依通行年表，待独立历法库复核</x:v>
      </x:c>
    </x:row>
    <x:row r="15" ht="34" customHeight="1">
      <x:c r="A15" s="100" t="str">
        <x:v>QH-A-KX-0011</x:v>
      </x:c>
      <x:c r="B15" s="100" t="str">
        <x:v>文字或数值陈述</x:v>
      </x:c>
      <x:c r="C15" s="100" t="str">
        <x:v>QH-P-000001</x:v>
      </x:c>
      <x:c r="D15" s="100" t="str">
        <x:v>ceremonial_music_status</x:v>
      </x:c>
      <x:c r="E15" s="100" t="str">
        <x:v>中和乐设置但不演奏</x:v>
      </x:c>
      <x:c r="F15" s="100" t="str">
        <x:v>顺治十八年正月初九日</x:v>
      </x:c>
      <x:c r="G15" s="108" t="str">
        <x:v>1661-02-07</x:v>
      </x:c>
      <x:c r="H15" s="108" t="str">
        <x:v>1661-02-07</x:v>
      </x:c>
      <x:c r="I15" s="100" t="str">
        <x:v>确定</x:v>
      </x:c>
      <x:c r="J15" s="100" t="str">
        <x:v>审核中</x:v>
      </x:c>
      <x:c r="K15" s="100" t="str">
        <x:v>QH-SU-KX-0001</x:v>
      </x:c>
      <x:c r="L15" s="100" t="str">
        <x:v>卷1；即位礼仪段</x:v>
      </x:c>
      <x:c r="M15" s="100" t="str">
        <x:v>中和樂設而不作</x:v>
      </x:c>
      <x:c r="N15" s="100" t="str">
        <x:v>支持</x:v>
      </x:c>
      <x:c r="O15" s="100" t="str">
        <x:v>明确记载</x:v>
      </x:c>
      <x:c r="P15" s="100" t="str">
        <x:v>强</x:v>
      </x:c>
      <x:c r="Q15" s="100" t="str">
        <x:v>QH-SF-QSL-KX</x:v>
      </x:c>
      <x:c r="R15" s="100" t="str"/>
      <x:c r="S15" s="100" t="str">
        <x:v>结构化导入</x:v>
      </x:c>
      <x:c r="T15" s="100" t="str">
        <x:v>AI</x:v>
      </x:c>
      <x:c r="U15" s="100" t="str"/>
      <x:c r="V15" s="108" t="str"/>
      <x:c r="W15" s="100" t="str">
        <x:v>与服丧情境相关；解释需礼制来源；公历日级对照为1661-02-07；韩国页面仅标1661年；换算依通行年表，待独立历法库复核</x:v>
      </x:c>
    </x:row>
    <x:row r="16" ht="34" customHeight="1">
      <x:c r="A16" s="100" t="str">
        <x:v>QH-A-KX-0012</x:v>
      </x:c>
      <x:c r="B16" s="100" t="str">
        <x:v>事件发生</x:v>
      </x:c>
      <x:c r="C16" s="100" t="str">
        <x:v>QH-P-000001</x:v>
      </x:c>
      <x:c r="D16" s="100" t="str">
        <x:v>waived_congratulatory_memorial</x:v>
      </x:c>
      <x:c r="E16" s="100" t="str">
        <x:v>免宣贺表</x:v>
      </x:c>
      <x:c r="F16" s="100" t="str">
        <x:v>顺治十八年正月初九日</x:v>
      </x:c>
      <x:c r="G16" s="108" t="str">
        <x:v>1661-02-07</x:v>
      </x:c>
      <x:c r="H16" s="108" t="str">
        <x:v>1661-02-07</x:v>
      </x:c>
      <x:c r="I16" s="100" t="str">
        <x:v>确定</x:v>
      </x:c>
      <x:c r="J16" s="100" t="str">
        <x:v>审核中</x:v>
      </x:c>
      <x:c r="K16" s="100" t="str">
        <x:v>QH-SU-KX-0001</x:v>
      </x:c>
      <x:c r="L16" s="100" t="str">
        <x:v>卷1；即位礼仪段</x:v>
      </x:c>
      <x:c r="M16" s="100" t="str">
        <x:v>上命免宣賀表</x:v>
      </x:c>
      <x:c r="N16" s="100" t="str">
        <x:v>支持</x:v>
      </x:c>
      <x:c r="O16" s="100" t="str">
        <x:v>明确记载</x:v>
      </x:c>
      <x:c r="P16" s="100" t="str">
        <x:v>强</x:v>
      </x:c>
      <x:c r="Q16" s="100" t="str">
        <x:v>QH-SF-QSL-KX</x:v>
      </x:c>
      <x:c r="R16" s="100" t="str"/>
      <x:c r="S16" s="100" t="str">
        <x:v>结构化导入</x:v>
      </x:c>
      <x:c r="T16" s="100" t="str">
        <x:v>AI</x:v>
      </x:c>
      <x:c r="U16" s="100" t="str"/>
      <x:c r="V16" s="108" t="str"/>
      <x:c r="W16" s="100" t="str">
        <x:v>不推定免除原因；只记录命令；公历日级对照为1661-02-07；韩国页面仅标1661年；换算依通行年表，待独立历法库复核</x:v>
      </x:c>
    </x:row>
    <x:row r="17" ht="34" customHeight="1">
      <x:c r="A17" s="100" t="str">
        <x:v>QH-A-KX-0013</x:v>
      </x:c>
      <x:c r="B17" s="100" t="str">
        <x:v>事件发生</x:v>
      </x:c>
      <x:c r="C17" s="100" t="str">
        <x:v>QH-P-000001</x:v>
      </x:c>
      <x:c r="D17" s="100" t="str">
        <x:v>issued_general_amnesty</x:v>
      </x:c>
      <x:c r="E17" s="100" t="str">
        <x:v>颁诏大赦</x:v>
      </x:c>
      <x:c r="F17" s="100" t="str">
        <x:v>顺治十八年正月初九日</x:v>
      </x:c>
      <x:c r="G17" s="108" t="str">
        <x:v>1661-02-07</x:v>
      </x:c>
      <x:c r="H17" s="108" t="str">
        <x:v>1661-02-07</x:v>
      </x:c>
      <x:c r="I17" s="100" t="str">
        <x:v>确定</x:v>
      </x:c>
      <x:c r="J17" s="100" t="str">
        <x:v>审核中</x:v>
      </x:c>
      <x:c r="K17" s="100" t="str">
        <x:v>QH-SU-KX-0001</x:v>
      </x:c>
      <x:c r="L17" s="100" t="str">
        <x:v>卷1；即位礼仪段</x:v>
      </x:c>
      <x:c r="M17" s="100" t="str">
        <x:v>頒詔大赦</x:v>
      </x:c>
      <x:c r="N17" s="100" t="str">
        <x:v>支持</x:v>
      </x:c>
      <x:c r="O17" s="100" t="str">
        <x:v>明确记载</x:v>
      </x:c>
      <x:c r="P17" s="100" t="str">
        <x:v>强</x:v>
      </x:c>
      <x:c r="Q17" s="100" t="str">
        <x:v>QH-SF-QSL-KX</x:v>
      </x:c>
      <x:c r="R17" s="100" t="str"/>
      <x:c r="S17" s="100" t="str">
        <x:v>结构化导入</x:v>
      </x:c>
      <x:c r="T17" s="100" t="str">
        <x:v>AI</x:v>
      </x:c>
      <x:c r="U17" s="100" t="str"/>
      <x:c r="V17" s="108" t="str"/>
      <x:c r="W17" s="100" t="str">
        <x:v>赦免具体范围需继续拆解诏文；公历日级对照为1661-02-07；韩国页面仅标1661年；换算依通行年表，待独立历法库复核</x:v>
      </x:c>
    </x:row>
    <x:row r="18" ht="34" customHeight="1">
      <x:c r="A18" s="100" t="str">
        <x:v>QH-A-KX-0014</x:v>
      </x:c>
      <x:c r="B18" s="100" t="str">
        <x:v>称号授予</x:v>
      </x:c>
      <x:c r="C18" s="100" t="str">
        <x:v>QH-P-000001</x:v>
      </x:c>
      <x:c r="D18" s="100" t="str">
        <x:v>announced_next_reign_era</x:v>
      </x:c>
      <x:c r="E18" s="100" t="str">
        <x:v>明年为康熙元年</x:v>
      </x:c>
      <x:c r="F18" s="100" t="str">
        <x:v>顺治十八年正月初九日</x:v>
      </x:c>
      <x:c r="G18" s="108" t="str">
        <x:v>1661-02-07</x:v>
      </x:c>
      <x:c r="H18" s="108" t="str">
        <x:v>1661-02-07</x:v>
      </x:c>
      <x:c r="I18" s="100" t="str">
        <x:v>确定</x:v>
      </x:c>
      <x:c r="J18" s="100" t="str">
        <x:v>已采纳</x:v>
      </x:c>
      <x:c r="K18" s="100" t="str">
        <x:v>QH-SU-KX-0001</x:v>
      </x:c>
      <x:c r="L18" s="100" t="str">
        <x:v>卷1；即位诏</x:v>
      </x:c>
      <x:c r="M18" s="100" t="str">
        <x:v>以明年為康熙元年</x:v>
      </x:c>
      <x:c r="N18" s="100" t="str">
        <x:v>支持</x:v>
      </x:c>
      <x:c r="O18" s="100" t="str">
        <x:v>明确记载</x:v>
      </x:c>
      <x:c r="P18" s="100" t="str">
        <x:v>强</x:v>
      </x:c>
      <x:c r="Q18" s="100" t="str">
        <x:v>QH-SF-QSL-KX</x:v>
      </x:c>
      <x:c r="R18" s="100" t="str"/>
      <x:c r="S18" s="100" t="str">
        <x:v>结构化导入</x:v>
      </x:c>
      <x:c r="T18" s="100" t="str">
        <x:v>AI</x:v>
      </x:c>
      <x:c r="U18" s="100" t="str">
        <x:v>zonglinxie-cyber</x:v>
      </x:c>
      <x:c r="V18" s="108" t="str">
        <x:v>2026-08-15</x:v>
      </x:c>
      <x:c r="W18" s="100" t="str">
        <x:v>证明即位发生于顺治十八年而康熙纪年自下一年起；两种年份口径不可混写；公历日级对照为1661-02-07；韩国页面仅标1661年；换算依通行年表，待独立历法库复核</x:v>
      </x:c>
    </x:row>
    <x:row r="19" ht="34" customHeight="1">
      <x:c r="A19" s="100" t="str">
        <x:v>QH-A-KX-0015</x:v>
      </x:c>
      <x:c r="B19" s="100" t="str">
        <x:v>文字或数值陈述</x:v>
      </x:c>
      <x:c r="C19" s="100" t="str">
        <x:v>QH-P-000001</x:v>
      </x:c>
      <x:c r="D19" s="100" t="str">
        <x:v>testament_self_reported_reign_length</x:v>
      </x:c>
      <x:c r="E19" s="100" t="str">
        <x:v>六十一年</x:v>
      </x:c>
      <x:c r="F19" s="100" t="str">
        <x:v>康熙六十一年十一月十三日</x:v>
      </x:c>
      <x:c r="G19" s="108" t="str">
        <x:v>1722-12-20</x:v>
      </x:c>
      <x:c r="H19" s="108" t="str">
        <x:v>1722-12-20</x:v>
      </x:c>
      <x:c r="I19" s="100" t="str">
        <x:v>确定</x:v>
      </x:c>
      <x:c r="J19" s="100" t="str">
        <x:v>审核中</x:v>
      </x:c>
      <x:c r="K19" s="100" t="str">
        <x:v>QH-SU-KX-0300</x:v>
      </x:c>
      <x:c r="L19" s="100" t="str">
        <x:v>卷300；遗诏开篇</x:v>
      </x:c>
      <x:c r="M19" s="100" t="str">
        <x:v>在位六十一年</x:v>
      </x:c>
      <x:c r="N19" s="100" t="str">
        <x:v>支持</x:v>
      </x:c>
      <x:c r="O19" s="100" t="str">
        <x:v>明确记载</x:v>
      </x:c>
      <x:c r="P19" s="100" t="str">
        <x:v>强</x:v>
      </x:c>
      <x:c r="Q19" s="100" t="str">
        <x:v>QH-SF-QSL-KX</x:v>
      </x:c>
      <x:c r="R19" s="100" t="str"/>
      <x:c r="S19" s="100" t="str">
        <x:v>结构化导入</x:v>
      </x:c>
      <x:c r="T19" s="100" t="str">
        <x:v>AI</x:v>
      </x:c>
      <x:c r="U19" s="100" t="str"/>
      <x:c r="V19" s="108" t="str"/>
      <x:c r="W19" s="100" t="str">
        <x:v>证明遗诏文本如此自述；不是现代公历时长计算；公历日级对照为1722-12-20；韩国页面仅标1722年；换算依通行年表，待独立历法库复核</x:v>
      </x:c>
    </x:row>
    <x:row r="20" ht="34" customHeight="1">
      <x:c r="A20" s="100" t="str">
        <x:v>QH-A-KX-0016</x:v>
      </x:c>
      <x:c r="B20" s="100" t="str">
        <x:v>文字或数值陈述</x:v>
      </x:c>
      <x:c r="C20" s="100" t="str">
        <x:v>QH-P-000001</x:v>
      </x:c>
      <x:c r="D20" s="100" t="str">
        <x:v>testament_self_reported_age</x:v>
      </x:c>
      <x:c r="E20" s="100" t="str">
        <x:v>年届七旬</x:v>
      </x:c>
      <x:c r="F20" s="100" t="str">
        <x:v>康熙六十一年十一月十三日</x:v>
      </x:c>
      <x:c r="G20" s="108" t="str">
        <x:v>1722-12-20</x:v>
      </x:c>
      <x:c r="H20" s="108" t="str">
        <x:v>1722-12-20</x:v>
      </x:c>
      <x:c r="I20" s="100" t="str">
        <x:v>确定</x:v>
      </x:c>
      <x:c r="J20" s="100" t="str">
        <x:v>审核中</x:v>
      </x:c>
      <x:c r="K20" s="100" t="str">
        <x:v>QH-SU-KX-0300</x:v>
      </x:c>
      <x:c r="L20" s="100" t="str">
        <x:v>卷300；遗诏开篇</x:v>
      </x:c>
      <x:c r="M20" s="100" t="str">
        <x:v>今朕年屆七旬</x:v>
      </x:c>
      <x:c r="N20" s="100" t="str">
        <x:v>支持</x:v>
      </x:c>
      <x:c r="O20" s="100" t="str">
        <x:v>明确记载</x:v>
      </x:c>
      <x:c r="P20" s="100" t="str">
        <x:v>强</x:v>
      </x:c>
      <x:c r="Q20" s="100" t="str">
        <x:v>QH-SF-QSL-KX</x:v>
      </x:c>
      <x:c r="R20" s="100" t="str"/>
      <x:c r="S20" s="100" t="str">
        <x:v>结构化导入</x:v>
      </x:c>
      <x:c r="T20" s="100" t="str">
        <x:v>AI</x:v>
      </x:c>
      <x:c r="U20" s="100" t="str"/>
      <x:c r="V20" s="108" t="str"/>
      <x:c r="W20" s="100" t="str">
        <x:v>中国传统年龄口径待结合生辰另核；公历日级对照为1722-12-20；韩国页面仅标1722年；换算依通行年表，待独立历法库复核</x:v>
      </x:c>
    </x:row>
    <x:row r="21" ht="34" customHeight="1">
      <x:c r="A21" s="100" t="str">
        <x:v>QH-A-KX-0017</x:v>
      </x:c>
      <x:c r="B21" s="100" t="str">
        <x:v>文字或数值陈述</x:v>
      </x:c>
      <x:c r="C21" s="100" t="str">
        <x:v>QH-P-000001</x:v>
      </x:c>
      <x:c r="D21" s="100" t="str">
        <x:v>testament_descendant_count</x:v>
      </x:c>
      <x:c r="E21" s="100" t="str">
        <x:v>子孙一百五十余人</x:v>
      </x:c>
      <x:c r="F21" s="100" t="str">
        <x:v>康熙六十一年十一月十三日</x:v>
      </x:c>
      <x:c r="G21" s="108" t="str">
        <x:v>1722-12-20</x:v>
      </x:c>
      <x:c r="H21" s="108" t="str">
        <x:v>1722-12-20</x:v>
      </x:c>
      <x:c r="I21" s="100" t="str">
        <x:v>确定</x:v>
      </x:c>
      <x:c r="J21" s="100" t="str">
        <x:v>审核中</x:v>
      </x:c>
      <x:c r="K21" s="100" t="str">
        <x:v>QH-SU-KX-0300</x:v>
      </x:c>
      <x:c r="L21" s="100" t="str">
        <x:v>卷300；遗诏开篇</x:v>
      </x:c>
      <x:c r="M21" s="100" t="str">
        <x:v>子孫百五十餘人</x:v>
      </x:c>
      <x:c r="N21" s="100" t="str">
        <x:v>支持</x:v>
      </x:c>
      <x:c r="O21" s="100" t="str">
        <x:v>明确记载</x:v>
      </x:c>
      <x:c r="P21" s="100" t="str">
        <x:v>强</x:v>
      </x:c>
      <x:c r="Q21" s="100" t="str">
        <x:v>QH-SF-QSL-KX</x:v>
      </x:c>
      <x:c r="R21" s="100" t="str"/>
      <x:c r="S21" s="100" t="str">
        <x:v>结构化导入</x:v>
      </x:c>
      <x:c r="T21" s="100" t="str">
        <x:v>AI</x:v>
      </x:c>
      <x:c r="U21" s="100" t="str"/>
      <x:c r="V21" s="108" t="str"/>
      <x:c r="W21" s="100" t="str">
        <x:v>这是遗诏自报的合计；范围和具体名单须以玉牒逐项核；公历日级对照为1722-12-20；韩国页面仅标1722年；换算依通行年表，待独立历法库复核</x:v>
      </x:c>
    </x:row>
    <x:row r="22" ht="34" customHeight="1">
      <x:c r="A22" s="100" t="str">
        <x:v>QH-A-KX-0018</x:v>
      </x:c>
      <x:c r="B22" s="100" t="str">
        <x:v>文字或数值陈述</x:v>
      </x:c>
      <x:c r="C22" s="100" t="str">
        <x:v>QH-P-000001</x:v>
      </x:c>
      <x:c r="D22" s="100" t="str">
        <x:v>testament_self_reported_learning</x:v>
      </x:c>
      <x:c r="E22" s="100" t="str">
        <x:v>自幼读书并粗通古今道理</x:v>
      </x:c>
      <x:c r="F22" s="100" t="str">
        <x:v>康熙六十一年十一月十三日</x:v>
      </x:c>
      <x:c r="G22" s="108" t="str">
        <x:v>1722-12-20</x:v>
      </x:c>
      <x:c r="H22" s="108" t="str">
        <x:v>1722-12-20</x:v>
      </x:c>
      <x:c r="I22" s="100" t="str">
        <x:v>确定</x:v>
      </x:c>
      <x:c r="J22" s="100" t="str">
        <x:v>审核中</x:v>
      </x:c>
      <x:c r="K22" s="100" t="str">
        <x:v>QH-SU-KX-0300</x:v>
      </x:c>
      <x:c r="L22" s="100" t="str">
        <x:v>卷300；遗诏自述段</x:v>
      </x:c>
      <x:c r="M22" s="100" t="str">
        <x:v>朕自幼讀書</x:v>
      </x:c>
      <x:c r="N22" s="100" t="str">
        <x:v>支持</x:v>
      </x:c>
      <x:c r="O22" s="100" t="str">
        <x:v>明确记载</x:v>
      </x:c>
      <x:c r="P22" s="100" t="str">
        <x:v>强</x:v>
      </x:c>
      <x:c r="Q22" s="100" t="str">
        <x:v>QH-SF-QSL-KX</x:v>
      </x:c>
      <x:c r="R22" s="100" t="str"/>
      <x:c r="S22" s="100" t="str">
        <x:v>结构化导入</x:v>
      </x:c>
      <x:c r="T22" s="100" t="str">
        <x:v>AI</x:v>
      </x:c>
      <x:c r="U22" s="100" t="str"/>
      <x:c r="V22" s="108" t="str"/>
      <x:c r="W22" s="100" t="str">
        <x:v>这是自我表述而非独立能力测评；公历日级对照为1722-12-20；韩国页面仅标1722年；换算依通行年表，待独立历法库复核</x:v>
      </x:c>
    </x:row>
    <x:row r="23" ht="34" customHeight="1">
      <x:c r="A23" s="100" t="str">
        <x:v>QH-A-KX-0019</x:v>
      </x:c>
      <x:c r="B23" s="100" t="str">
        <x:v>文字或数值陈述</x:v>
      </x:c>
      <x:c r="C23" s="100" t="str">
        <x:v>QH-P-000001</x:v>
      </x:c>
      <x:c r="D23" s="100" t="str">
        <x:v>testament_self_reported_archery</x:v>
      </x:c>
      <x:c r="E23" s="100" t="str">
        <x:v>能弯十五力弓并发十三把箭</x:v>
      </x:c>
      <x:c r="F23" s="100" t="str">
        <x:v>康熙六十一年十一月十三日</x:v>
      </x:c>
      <x:c r="G23" s="108" t="str">
        <x:v>1722-12-20</x:v>
      </x:c>
      <x:c r="H23" s="108" t="str">
        <x:v>1722-12-20</x:v>
      </x:c>
      <x:c r="I23" s="100" t="str">
        <x:v>确定</x:v>
      </x:c>
      <x:c r="J23" s="100" t="str">
        <x:v>审核中</x:v>
      </x:c>
      <x:c r="K23" s="100" t="str">
        <x:v>QH-SU-KX-0300</x:v>
      </x:c>
      <x:c r="L23" s="100" t="str">
        <x:v>卷300；遗诏自述段</x:v>
      </x:c>
      <x:c r="M23" s="100" t="str">
        <x:v>能彎十五力弓發十三把箭</x:v>
      </x:c>
      <x:c r="N23" s="100" t="str">
        <x:v>支持</x:v>
      </x:c>
      <x:c r="O23" s="100" t="str">
        <x:v>明确记载</x:v>
      </x:c>
      <x:c r="P23" s="100" t="str">
        <x:v>强</x:v>
      </x:c>
      <x:c r="Q23" s="100" t="str">
        <x:v>QH-SF-QSL-KX</x:v>
      </x:c>
      <x:c r="R23" s="100" t="str"/>
      <x:c r="S23" s="100" t="str">
        <x:v>结构化导入</x:v>
      </x:c>
      <x:c r="T23" s="100" t="str">
        <x:v>AI</x:v>
      </x:c>
      <x:c r="U23" s="100" t="str"/>
      <x:c r="V23" s="108" t="str"/>
      <x:c r="W23" s="100" t="str">
        <x:v>只证明遗诏如此自述；力弓和把箭的度量需专门解释；公历日级对照为1722-12-20；韩国页面仅标1722年；换算依通行年表，待独立历法库复核</x:v>
      </x:c>
    </x:row>
    <x:row r="24" ht="34" customHeight="1">
      <x:c r="A24" s="100" t="str">
        <x:v>QH-A-KX-0020</x:v>
      </x:c>
      <x:c r="B24" s="100" t="str">
        <x:v>文字或数值陈述</x:v>
      </x:c>
      <x:c r="C24" s="100" t="str">
        <x:v>QH-P-000001</x:v>
      </x:c>
      <x:c r="D24" s="100" t="str">
        <x:v>testament_claimed_military_planning</x:v>
      </x:c>
      <x:c r="E24" s="100" t="str">
        <x:v>平定三藩和扫清漠北皆由一心运筹</x:v>
      </x:c>
      <x:c r="F24" s="100" t="str">
        <x:v>康熙六十一年十一月十三日</x:v>
      </x:c>
      <x:c r="G24" s="108" t="str">
        <x:v>1722-12-20</x:v>
      </x:c>
      <x:c r="H24" s="108" t="str">
        <x:v>1722-12-20</x:v>
      </x:c>
      <x:c r="I24" s="100" t="str">
        <x:v>确定</x:v>
      </x:c>
      <x:c r="J24" s="100" t="str">
        <x:v>审核中</x:v>
      </x:c>
      <x:c r="K24" s="100" t="str">
        <x:v>QH-SU-KX-0300</x:v>
      </x:c>
      <x:c r="L24" s="100" t="str">
        <x:v>卷300；遗诏自评段</x:v>
      </x:c>
      <x:c r="M24" s="100" t="str">
        <x:v>平定三藩掃清漠北</x:v>
      </x:c>
      <x:c r="N24" s="100" t="str">
        <x:v>支持</x:v>
      </x:c>
      <x:c r="O24" s="100" t="str">
        <x:v>明确记载</x:v>
      </x:c>
      <x:c r="P24" s="100" t="str">
        <x:v>强</x:v>
      </x:c>
      <x:c r="Q24" s="100" t="str">
        <x:v>QH-SF-QSL-KX</x:v>
      </x:c>
      <x:c r="R24" s="100" t="str"/>
      <x:c r="S24" s="100" t="str">
        <x:v>结构化导入</x:v>
      </x:c>
      <x:c r="T24" s="100" t="str">
        <x:v>AI</x:v>
      </x:c>
      <x:c r="U24" s="100" t="str"/>
      <x:c r="V24" s="108" t="str"/>
      <x:c r="W24" s="100" t="str">
        <x:v>这是皇帝自评；不能抹去将领官员和地方社会行动；公历日级对照为1722-12-20；韩国页面仅标1722年；换算依通行年表，待独立历法库复核</x:v>
      </x:c>
    </x:row>
    <x:row r="25" ht="34" customHeight="1">
      <x:c r="A25" s="100" t="str">
        <x:v>QH-A-KX-0021</x:v>
      </x:c>
      <x:c r="B25" s="100" t="str">
        <x:v>文字或数值陈述</x:v>
      </x:c>
      <x:c r="C25" s="100" t="str">
        <x:v>QH-P-000001</x:v>
      </x:c>
      <x:c r="D25" s="100" t="str">
        <x:v>testament_claimed_treasury_rule</x:v>
      </x:c>
      <x:c r="E25" s="100" t="str">
        <x:v>帑金非用师赈饥不敢妄费</x:v>
      </x:c>
      <x:c r="F25" s="100" t="str">
        <x:v>康熙六十一年十一月十三日</x:v>
      </x:c>
      <x:c r="G25" s="108" t="str">
        <x:v>1722-12-20</x:v>
      </x:c>
      <x:c r="H25" s="108" t="str">
        <x:v>1722-12-20</x:v>
      </x:c>
      <x:c r="I25" s="100" t="str">
        <x:v>确定</x:v>
      </x:c>
      <x:c r="J25" s="100" t="str">
        <x:v>审核中</x:v>
      </x:c>
      <x:c r="K25" s="100" t="str">
        <x:v>QH-SU-KX-0300</x:v>
      </x:c>
      <x:c r="L25" s="100" t="str">
        <x:v>卷300；遗诏财政自评段</x:v>
      </x:c>
      <x:c r="M25" s="100" t="str">
        <x:v>非用師賑飢未敢妄費</x:v>
      </x:c>
      <x:c r="N25" s="100" t="str">
        <x:v>支持</x:v>
      </x:c>
      <x:c r="O25" s="100" t="str">
        <x:v>明确记载</x:v>
      </x:c>
      <x:c r="P25" s="100" t="str">
        <x:v>强</x:v>
      </x:c>
      <x:c r="Q25" s="100" t="str">
        <x:v>QH-SF-QSL-KX</x:v>
      </x:c>
      <x:c r="R25" s="100" t="str"/>
      <x:c r="S25" s="100" t="str">
        <x:v>结构化导入</x:v>
      </x:c>
      <x:c r="T25" s="100" t="str">
        <x:v>AI</x:v>
      </x:c>
      <x:c r="U25" s="100" t="str"/>
      <x:c r="V25" s="108" t="str"/>
      <x:c r="W25" s="100" t="str">
        <x:v>政策自评不等于财务审计结论；须与户部档案核对；公历日级对照为1722-12-20；韩国页面仅标1722年；换算依通行年表，待独立历法库复核</x:v>
      </x:c>
    </x:row>
    <x:row r="26" ht="34" customHeight="1">
      <x:c r="A26" s="100" t="str">
        <x:v>QH-A-KX-0022</x:v>
      </x:c>
      <x:c r="B26" s="100" t="str">
        <x:v>文字或数值陈述</x:v>
      </x:c>
      <x:c r="C26" s="100" t="str">
        <x:v>QH-P-000001</x:v>
      </x:c>
      <x:c r="D26" s="100" t="str">
        <x:v>testament_claimed_palace_decoration</x:v>
      </x:c>
      <x:c r="E26" s="100" t="str">
        <x:v>巡狩行宫不施彩绘</x:v>
      </x:c>
      <x:c r="F26" s="100" t="str">
        <x:v>康熙六十一年十一月十三日</x:v>
      </x:c>
      <x:c r="G26" s="108" t="str">
        <x:v>1722-12-20</x:v>
      </x:c>
      <x:c r="H26" s="108" t="str">
        <x:v>1722-12-20</x:v>
      </x:c>
      <x:c r="I26" s="100" t="str">
        <x:v>确定</x:v>
      </x:c>
      <x:c r="J26" s="100" t="str">
        <x:v>审核中</x:v>
      </x:c>
      <x:c r="K26" s="100" t="str">
        <x:v>QH-SU-KX-0300</x:v>
      </x:c>
      <x:c r="L26" s="100" t="str">
        <x:v>卷300；遗诏财政自评段</x:v>
      </x:c>
      <x:c r="M26" s="100" t="str">
        <x:v>巡狩行宮不施采繪</x:v>
      </x:c>
      <x:c r="N26" s="100" t="str">
        <x:v>支持</x:v>
      </x:c>
      <x:c r="O26" s="100" t="str">
        <x:v>明确记载</x:v>
      </x:c>
      <x:c r="P26" s="100" t="str">
        <x:v>强</x:v>
      </x:c>
      <x:c r="Q26" s="100" t="str">
        <x:v>QH-SF-QSL-KX</x:v>
      </x:c>
      <x:c r="R26" s="100" t="str"/>
      <x:c r="S26" s="100" t="str">
        <x:v>结构化导入</x:v>
      </x:c>
      <x:c r="T26" s="100" t="str">
        <x:v>AI</x:v>
      </x:c>
      <x:c r="U26" s="100" t="str"/>
      <x:c r="V26" s="108" t="str"/>
      <x:c r="W26" s="100" t="str">
        <x:v>证明遗诏文本中的节俭叙事；不外推全部工程；公历日级对照为1722-12-20；韩国页面仅标1722年；换算依通行年表，待独立历法库复核</x:v>
      </x:c>
    </x:row>
    <x:row r="27" ht="34" customHeight="1">
      <x:c r="A27" s="100" t="str">
        <x:v>QH-A-KX-0023</x:v>
      </x:c>
      <x:c r="B27" s="100" t="str">
        <x:v>文字或数值陈述</x:v>
      </x:c>
      <x:c r="C27" s="100" t="str">
        <x:v>QH-P-000001</x:v>
      </x:c>
      <x:c r="D27" s="100" t="str">
        <x:v>testament_claimed_palace_annual_cost</x:v>
      </x:c>
      <x:c r="E27" s="100" t="str">
        <x:v>每年一至二万金</x:v>
      </x:c>
      <x:c r="F27" s="100" t="str">
        <x:v>康熙六十一年十一月十三日</x:v>
      </x:c>
      <x:c r="G27" s="108" t="str">
        <x:v>1722-12-20</x:v>
      </x:c>
      <x:c r="H27" s="108" t="str">
        <x:v>1722-12-20</x:v>
      </x:c>
      <x:c r="I27" s="100" t="str">
        <x:v>确定</x:v>
      </x:c>
      <x:c r="J27" s="100" t="str">
        <x:v>审核中</x:v>
      </x:c>
      <x:c r="K27" s="100" t="str">
        <x:v>QH-SU-KX-0300</x:v>
      </x:c>
      <x:c r="L27" s="100" t="str">
        <x:v>卷300；遗诏财政自评段</x:v>
      </x:c>
      <x:c r="M27" s="100" t="str">
        <x:v>每歲所費不過一二萬金</x:v>
      </x:c>
      <x:c r="N27" s="100" t="str">
        <x:v>支持</x:v>
      </x:c>
      <x:c r="O27" s="100" t="str">
        <x:v>明确记载</x:v>
      </x:c>
      <x:c r="P27" s="100" t="str">
        <x:v>强</x:v>
      </x:c>
      <x:c r="Q27" s="100" t="str">
        <x:v>QH-SF-QSL-KX</x:v>
      </x:c>
      <x:c r="R27" s="100" t="str"/>
      <x:c r="S27" s="100" t="str">
        <x:v>结构化导入</x:v>
      </x:c>
      <x:c r="T27" s="100" t="str">
        <x:v>AI</x:v>
      </x:c>
      <x:c r="U27" s="100" t="str"/>
      <x:c r="V27" s="108" t="str"/>
      <x:c r="W27" s="100" t="str">
        <x:v>金的会计单位和统计范围待核；不能直接换算现代金额；公历日级对照为1722-12-20；韩国页面仅标1722年；换算依通行年表，待独立历法库复核</x:v>
      </x:c>
    </x:row>
    <x:row r="28" ht="34" customHeight="1">
      <x:c r="A28" s="100" t="str">
        <x:v>QH-A-KX-0024</x:v>
      </x:c>
      <x:c r="B28" s="100" t="str">
        <x:v>文字或数值陈述</x:v>
      </x:c>
      <x:c r="C28" s="100" t="str">
        <x:v>QH-P-000001</x:v>
      </x:c>
      <x:c r="D28" s="100" t="str">
        <x:v>testament_claimed_riverworks_annual_cost</x:v>
      </x:c>
      <x:c r="E28" s="100" t="str">
        <x:v>每年三百余万</x:v>
      </x:c>
      <x:c r="F28" s="100" t="str">
        <x:v>康熙六十一年十一月十三日</x:v>
      </x:c>
      <x:c r="G28" s="108" t="str">
        <x:v>1722-12-20</x:v>
      </x:c>
      <x:c r="H28" s="108" t="str">
        <x:v>1722-12-20</x:v>
      </x:c>
      <x:c r="I28" s="100" t="str">
        <x:v>确定</x:v>
      </x:c>
      <x:c r="J28" s="100" t="str">
        <x:v>审核中</x:v>
      </x:c>
      <x:c r="K28" s="100" t="str">
        <x:v>QH-SU-KX-0300</x:v>
      </x:c>
      <x:c r="L28" s="100" t="str">
        <x:v>卷300；遗诏财政自评段</x:v>
      </x:c>
      <x:c r="M28" s="100" t="str">
        <x:v>河工歲費三百餘萬</x:v>
      </x:c>
      <x:c r="N28" s="100" t="str">
        <x:v>支持</x:v>
      </x:c>
      <x:c r="O28" s="100" t="str">
        <x:v>明确记载</x:v>
      </x:c>
      <x:c r="P28" s="100" t="str">
        <x:v>强</x:v>
      </x:c>
      <x:c r="Q28" s="100" t="str">
        <x:v>QH-SF-QSL-KX</x:v>
      </x:c>
      <x:c r="R28" s="100" t="str"/>
      <x:c r="S28" s="100" t="str">
        <x:v>结构化导入</x:v>
      </x:c>
      <x:c r="T28" s="100" t="str">
        <x:v>AI</x:v>
      </x:c>
      <x:c r="U28" s="100" t="str"/>
      <x:c r="V28" s="108" t="str"/>
      <x:c r="W28" s="100" t="str">
        <x:v>金额单位和财政范围须回查户部河工档；公历日级对照为1722-12-20；韩国页面仅标1722年；换算依通行年表，待独立历法库复核</x:v>
      </x:c>
    </x:row>
    <x:row r="29" ht="34" customHeight="1">
      <x:c r="A29" s="100" t="str">
        <x:v>QH-A-KX-0025</x:v>
      </x:c>
      <x:c r="B29" s="100" t="str">
        <x:v>文字或数值陈述</x:v>
      </x:c>
      <x:c r="C29" s="100" t="str">
        <x:v>QH-P-000001</x:v>
      </x:c>
      <x:c r="D29" s="100" t="str">
        <x:v>testament_requested_clan_protection</x:v>
      </x:c>
      <x:c r="E29" s="100" t="str">
        <x:v>希望身后协心保全礼亲王和饶余王子孙</x:v>
      </x:c>
      <x:c r="F29" s="100" t="str">
        <x:v>康熙六十一年十一月十三日</x:v>
      </x:c>
      <x:c r="G29" s="108" t="str">
        <x:v>1722-12-20</x:v>
      </x:c>
      <x:c r="H29" s="108" t="str">
        <x:v>1722-12-20</x:v>
      </x:c>
      <x:c r="I29" s="100" t="str">
        <x:v>确定</x:v>
      </x:c>
      <x:c r="J29" s="100" t="str">
        <x:v>审核中</x:v>
      </x:c>
      <x:c r="K29" s="100" t="str">
        <x:v>QH-SU-KX-0300</x:v>
      </x:c>
      <x:c r="L29" s="100" t="str">
        <x:v>卷300；遗诏末段</x:v>
      </x:c>
      <x:c r="M29" s="100" t="str">
        <x:v>爾等若能協心保全</x:v>
      </x:c>
      <x:c r="N29" s="100" t="str">
        <x:v>支持</x:v>
      </x:c>
      <x:c r="O29" s="100" t="str">
        <x:v>明确记载</x:v>
      </x:c>
      <x:c r="P29" s="100" t="str">
        <x:v>强</x:v>
      </x:c>
      <x:c r="Q29" s="100" t="str">
        <x:v>QH-SF-QSL-KX</x:v>
      </x:c>
      <x:c r="R29" s="100" t="str"/>
      <x:c r="S29" s="100" t="str">
        <x:v>结构化导入</x:v>
      </x:c>
      <x:c r="T29" s="100" t="str">
        <x:v>AI</x:v>
      </x:c>
      <x:c r="U29" s="100" t="str"/>
      <x:c r="V29" s="108" t="str"/>
      <x:c r="W29" s="100" t="str">
        <x:v>需另建礼亲王与饶余王支系实体及指代解析；公历日级对照为1722-12-20；韩国页面仅标1722年；换算依通行年表，待独立历法库复核</x:v>
      </x:c>
    </x:row>
    <x:row r="30" ht="34" customHeight="1">
      <x:c r="A30" s="100" t="str">
        <x:v>QH-A-KX-0026</x:v>
      </x:c>
      <x:c r="B30" s="100" t="str">
        <x:v>文字或数值陈述</x:v>
      </x:c>
      <x:c r="C30" s="100" t="str">
        <x:v>QH-P-000001</x:v>
      </x:c>
      <x:c r="D30" s="100" t="str">
        <x:v>testament_identified_yinzhen</x:v>
      </x:c>
      <x:c r="E30" s="100" t="str">
        <x:v>雍亲王皇四子胤禛</x:v>
      </x:c>
      <x:c r="F30" s="100" t="str">
        <x:v>康熙六十一年十一月十三日</x:v>
      </x:c>
      <x:c r="G30" s="108" t="str">
        <x:v>1722-12-20</x:v>
      </x:c>
      <x:c r="H30" s="108" t="str">
        <x:v>1722-12-20</x:v>
      </x:c>
      <x:c r="I30" s="100" t="str">
        <x:v>确定</x:v>
      </x:c>
      <x:c r="J30" s="100" t="str">
        <x:v>审核中</x:v>
      </x:c>
      <x:c r="K30" s="100" t="str">
        <x:v>QH-SU-KX-0300</x:v>
      </x:c>
      <x:c r="L30" s="100" t="str">
        <x:v>卷300；遗诏继承条款</x:v>
      </x:c>
      <x:c r="M30" s="100" t="str">
        <x:v>雍親王皇四子胤禛</x:v>
      </x:c>
      <x:c r="N30" s="100" t="str">
        <x:v>支持</x:v>
      </x:c>
      <x:c r="O30" s="100" t="str">
        <x:v>明确记载</x:v>
      </x:c>
      <x:c r="P30" s="100" t="str">
        <x:v>强</x:v>
      </x:c>
      <x:c r="Q30" s="100" t="str">
        <x:v>QH-SF-QSL-KX</x:v>
      </x:c>
      <x:c r="R30" s="100" t="str"/>
      <x:c r="S30" s="100" t="str">
        <x:v>结构化导入</x:v>
      </x:c>
      <x:c r="T30" s="100" t="str">
        <x:v>AI</x:v>
      </x:c>
      <x:c r="U30" s="100" t="str"/>
      <x:c r="V30" s="108" t="str"/>
      <x:c r="W30" s="100" t="str">
        <x:v>与QH-P-000002为同一人物；称号和排行均有时态；公历日级对照为1722-12-20；韩国页面仅标1722年；换算依通行年表，待独立历法库复核</x:v>
      </x:c>
    </x:row>
    <x:row r="31" ht="34" customHeight="1">
      <x:c r="A31" s="100" t="str">
        <x:v>QH-A-KX-0027</x:v>
      </x:c>
      <x:c r="B31" s="100" t="str">
        <x:v>文字或数值陈述</x:v>
      </x:c>
      <x:c r="C31" s="100" t="str">
        <x:v>QH-P-000001</x:v>
      </x:c>
      <x:c r="D31" s="100" t="str">
        <x:v>testament_evaluated_yinzhen</x:v>
      </x:c>
      <x:c r="E31" s="100" t="str">
        <x:v>人品贵重并深肖朕躬</x:v>
      </x:c>
      <x:c r="F31" s="100" t="str">
        <x:v>康熙六十一年十一月十三日</x:v>
      </x:c>
      <x:c r="G31" s="108" t="str">
        <x:v>1722-12-20</x:v>
      </x:c>
      <x:c r="H31" s="108" t="str">
        <x:v>1722-12-20</x:v>
      </x:c>
      <x:c r="I31" s="100" t="str">
        <x:v>确定</x:v>
      </x:c>
      <x:c r="J31" s="100" t="str">
        <x:v>审核中</x:v>
      </x:c>
      <x:c r="K31" s="100" t="str">
        <x:v>QH-SU-KX-0300</x:v>
      </x:c>
      <x:c r="L31" s="100" t="str">
        <x:v>卷300；遗诏继承条款</x:v>
      </x:c>
      <x:c r="M31" s="100" t="str">
        <x:v>人品貴重深肖朕躬</x:v>
      </x:c>
      <x:c r="N31" s="100" t="str">
        <x:v>支持</x:v>
      </x:c>
      <x:c r="O31" s="100" t="str">
        <x:v>明确记载</x:v>
      </x:c>
      <x:c r="P31" s="100" t="str">
        <x:v>强</x:v>
      </x:c>
      <x:c r="Q31" s="100" t="str">
        <x:v>QH-SF-QSL-KX</x:v>
      </x:c>
      <x:c r="R31" s="100" t="str">
        <x:v>QH-CF-KX-SUCCESSION</x:v>
      </x:c>
      <x:c r="S31" s="100" t="str">
        <x:v>结构化导入</x:v>
      </x:c>
      <x:c r="T31" s="100" t="str">
        <x:v>AI</x:v>
      </x:c>
      <x:c r="U31" s="100" t="str"/>
      <x:c r="V31" s="108" t="str"/>
      <x:c r="W31" s="100" t="str">
        <x:v>这是遗诏中的评价性语言；不能直接视为康熙长期稳定的私下判断；公历日级对照为1722-12-20；韩国页面仅标1722年；换算依通行年表，待独立历法库复核</x:v>
      </x:c>
    </x:row>
    <x:row r="32" ht="34" customHeight="1">
      <x:c r="A32" s="100" t="str">
        <x:v>QH-A-KX-0028</x:v>
      </x:c>
      <x:c r="B32" s="100" t="str">
        <x:v>称号授予</x:v>
      </x:c>
      <x:c r="C32" s="100" t="str">
        <x:v>QH-P-000001</x:v>
      </x:c>
      <x:c r="D32" s="100" t="str">
        <x:v>designated_successor</x:v>
      </x:c>
      <x:c r="E32" s="100" t="str">
        <x:v>QH-P-000002</x:v>
      </x:c>
      <x:c r="F32" s="100" t="str">
        <x:v>康熙六十一年十一月十三日</x:v>
      </x:c>
      <x:c r="G32" s="108" t="str">
        <x:v>1722-12-20</x:v>
      </x:c>
      <x:c r="H32" s="108" t="str">
        <x:v>1722-12-20</x:v>
      </x:c>
      <x:c r="I32" s="100" t="str">
        <x:v>确定</x:v>
      </x:c>
      <x:c r="J32" s="100" t="str">
        <x:v>审核中</x:v>
      </x:c>
      <x:c r="K32" s="100" t="str">
        <x:v>QH-SU-KX-0300</x:v>
      </x:c>
      <x:c r="L32" s="100" t="str">
        <x:v>卷300；遗诏继承条款</x:v>
      </x:c>
      <x:c r="M32" s="100" t="str">
        <x:v>著繼朕登基即皇帝位</x:v>
      </x:c>
      <x:c r="N32" s="100" t="str">
        <x:v>支持</x:v>
      </x:c>
      <x:c r="O32" s="100" t="str">
        <x:v>明确记载</x:v>
      </x:c>
      <x:c r="P32" s="100" t="str">
        <x:v>强</x:v>
      </x:c>
      <x:c r="Q32" s="100" t="str">
        <x:v>QH-SF-QSL-KX</x:v>
      </x:c>
      <x:c r="R32" s="100" t="str">
        <x:v>QH-CF-KX-SUCCESSION</x:v>
      </x:c>
      <x:c r="S32" s="100" t="str">
        <x:v>结构化导入</x:v>
      </x:c>
      <x:c r="T32" s="100" t="str">
        <x:v>AI</x:v>
      </x:c>
      <x:c r="U32" s="100" t="str"/>
      <x:c r="V32" s="108" t="str"/>
      <x:c r="W32" s="100" t="str">
        <x:v>只证明现存实录本所载遗诏含此条款；不能单独解决原诏形成传达增删或真伪争议；公历日级对照为1722-12-20；韩国页面仅标1722年；换算依通行年表，待独立历法库复核</x:v>
      </x:c>
    </x:row>
    <x:row r="33" ht="34" customHeight="1">
      <x:c r="A33" s="100" t="str">
        <x:v>QH-A-KX-0029</x:v>
      </x:c>
      <x:c r="B33" s="100" t="str">
        <x:v>事件发生</x:v>
      </x:c>
      <x:c r="C33" s="100" t="str">
        <x:v>QH-P-000001</x:v>
      </x:c>
      <x:c r="D33" s="100" t="str">
        <x:v>illness_became_critical</x:v>
      </x:c>
      <x:c r="E33" s="100" t="str">
        <x:v>疾大渐</x:v>
      </x:c>
      <x:c r="F33" s="100" t="str">
        <x:v>康熙六十一年十一月十三日丑刻</x:v>
      </x:c>
      <x:c r="G33" s="108" t="str">
        <x:v>1722-12-20</x:v>
      </x:c>
      <x:c r="H33" s="108" t="str">
        <x:v>1722-12-20</x:v>
      </x:c>
      <x:c r="I33" s="100" t="str">
        <x:v>确定</x:v>
      </x:c>
      <x:c r="J33" s="100" t="str">
        <x:v>审核中</x:v>
      </x:c>
      <x:c r="K33" s="100" t="str">
        <x:v>QH-SU-KX-0300A</x:v>
      </x:c>
      <x:c r="L33" s="100" t="str">
        <x:v>卷300；康熙六十一年十一月十三日；1/2；丑刻</x:v>
      </x:c>
      <x:c r="M33" s="100" t="str">
        <x:v>上疾大漸</x:v>
      </x:c>
      <x:c r="N33" s="100" t="str">
        <x:v>支持</x:v>
      </x:c>
      <x:c r="O33" s="100" t="str">
        <x:v>明确记载</x:v>
      </x:c>
      <x:c r="P33" s="100" t="str">
        <x:v>强</x:v>
      </x:c>
      <x:c r="Q33" s="100" t="str">
        <x:v>QH-SF-QSL-KX</x:v>
      </x:c>
      <x:c r="R33" s="100" t="str"/>
      <x:c r="S33" s="100" t="str">
        <x:v>结构化导入</x:v>
      </x:c>
      <x:c r="T33" s="100" t="str">
        <x:v>AI</x:v>
      </x:c>
      <x:c r="U33" s="100" t="str"/>
      <x:c r="V33" s="108" t="str"/>
      <x:c r="W33" s="100" t="str">
        <x:v>只证明该实录版本记丑刻疾大渐；不推定病因。公历日级对照为1722-12-20；韩国页面仅标1722年；换算依通行年表，待独立历法库复核</x:v>
      </x:c>
    </x:row>
    <x:row r="34" ht="34" customHeight="1">
      <x:c r="A34" s="100" t="str">
        <x:v>QH-A-KX-0030</x:v>
      </x:c>
      <x:c r="B34" s="100" t="str">
        <x:v>事件发生</x:v>
      </x:c>
      <x:c r="C34" s="100" t="str">
        <x:v>QH-P-000001</x:v>
      </x:c>
      <x:c r="D34" s="100" t="str">
        <x:v>summoned_yinzhen_from_zhai</x:v>
      </x:c>
      <x:c r="E34" s="100" t="str">
        <x:v>QH-P-000002</x:v>
      </x:c>
      <x:c r="F34" s="100" t="str">
        <x:v>康熙六十一年十一月十三日丑刻</x:v>
      </x:c>
      <x:c r="G34" s="108" t="str">
        <x:v>1722-12-20</x:v>
      </x:c>
      <x:c r="H34" s="108" t="str">
        <x:v>1722-12-20</x:v>
      </x:c>
      <x:c r="I34" s="100" t="str">
        <x:v>确定</x:v>
      </x:c>
      <x:c r="J34" s="100" t="str">
        <x:v>审核中</x:v>
      </x:c>
      <x:c r="K34" s="100" t="str">
        <x:v>QH-SU-KX-0300A</x:v>
      </x:c>
      <x:c r="L34" s="100" t="str">
        <x:v>卷300；康熙六十一年十一月十三日；1/2；丑刻</x:v>
      </x:c>
      <x:c r="M34" s="100" t="str">
        <x:v>命趣召皇四子胤禛於齋所</x:v>
      </x:c>
      <x:c r="N34" s="100" t="str">
        <x:v>支持</x:v>
      </x:c>
      <x:c r="O34" s="100" t="str">
        <x:v>明确记载</x:v>
      </x:c>
      <x:c r="P34" s="100" t="str">
        <x:v>强</x:v>
      </x:c>
      <x:c r="Q34" s="100" t="str">
        <x:v>QH-SF-QSL-KX</x:v>
      </x:c>
      <x:c r="R34" s="100" t="str"/>
      <x:c r="S34" s="100" t="str">
        <x:v>结构化导入</x:v>
      </x:c>
      <x:c r="T34" s="100" t="str">
        <x:v>AI</x:v>
      </x:c>
      <x:c r="U34" s="100" t="str"/>
      <x:c r="V34" s="108" t="str"/>
      <x:c r="W34" s="100" t="str">
        <x:v>斋所地点本条未写。胤禛此时不在寅刻御榻名单中。公历日级对照为1722-12-20；韩国页面仅标1722年；换算依通行年表，待独立历法库复核</x:v>
      </x:c>
    </x:row>
    <x:row r="35" ht="34" customHeight="1">
      <x:c r="A35" s="100" t="str">
        <x:v>QH-A-KX-0031</x:v>
      </x:c>
      <x:c r="B35" s="100" t="str">
        <x:v>事件发生</x:v>
      </x:c>
      <x:c r="C35" s="100" t="str">
        <x:v>QH-P-000001</x:v>
      </x:c>
      <x:c r="D35" s="100" t="str">
        <x:v>delegated_suburban_sacrifice</x:v>
      </x:c>
      <x:c r="E35" s="100" t="str">
        <x:v>公吴尔占恭代南郊祀典</x:v>
      </x:c>
      <x:c r="F35" s="100" t="str">
        <x:v>康熙六十一年十一月十三日丑刻</x:v>
      </x:c>
      <x:c r="G35" s="108" t="str">
        <x:v>1722-12-20</x:v>
      </x:c>
      <x:c r="H35" s="108" t="str">
        <x:v>1722-12-20</x:v>
      </x:c>
      <x:c r="I35" s="100" t="str">
        <x:v>确定</x:v>
      </x:c>
      <x:c r="J35" s="100" t="str">
        <x:v>审核中</x:v>
      </x:c>
      <x:c r="K35" s="100" t="str">
        <x:v>QH-SU-KX-0300A</x:v>
      </x:c>
      <x:c r="L35" s="100" t="str">
        <x:v>卷300；康熙六十一年十一月十三日；1/2</x:v>
      </x:c>
      <x:c r="M35" s="100" t="str">
        <x:v>南郊祀典、著派公吳爾占恭代</x:v>
      </x:c>
      <x:c r="N35" s="100" t="str">
        <x:v>支持</x:v>
      </x:c>
      <x:c r="O35" s="100" t="str">
        <x:v>明确记载</x:v>
      </x:c>
      <x:c r="P35" s="100" t="str">
        <x:v>强</x:v>
      </x:c>
      <x:c r="Q35" s="100" t="str">
        <x:v>QH-SF-QSL-KX</x:v>
      </x:c>
      <x:c r="R35" s="100" t="str"/>
      <x:c r="S35" s="100" t="str">
        <x:v>结构化导入</x:v>
      </x:c>
      <x:c r="T35" s="100" t="str">
        <x:v>AI</x:v>
      </x:c>
      <x:c r="U35" s="100" t="str"/>
      <x:c r="V35" s="108" t="str"/>
      <x:c r="W35" s="100" t="str">
        <x:v>吴尔占尚未建立稳定人物ID；暂存字面值。不推定此前原定主祭者。公历日级对照为1722-12-20；韩国页面仅标1722年；换算依通行年表，待独立历法库复核</x:v>
      </x:c>
    </x:row>
    <x:row r="36" ht="34" customHeight="1">
      <x:c r="A36" s="100" t="str">
        <x:v>QH-A-KX-0032</x:v>
      </x:c>
      <x:c r="B36" s="100" t="str">
        <x:v>事件参与</x:v>
      </x:c>
      <x:c r="C36" s="100" t="str">
        <x:v>QH-P-000001</x:v>
      </x:c>
      <x:c r="D36" s="100" t="str">
        <x:v>summoned_to_bedside</x:v>
      </x:c>
      <x:c r="E36" s="100" t="str">
        <x:v>皇三子诚亲王允祉；皇七子淳郡王允祐；皇八子贝勒允禩；皇九子贝子允禟；皇十子敦郡王允䄉；皇十二子贝子允祹；皇十三子胤祥；理藩院尚书隆科多</x:v>
      </x:c>
      <x:c r="F36" s="100" t="str">
        <x:v>康熙六十一年十一月十三日寅刻</x:v>
      </x:c>
      <x:c r="G36" s="108" t="str">
        <x:v>1722-12-20</x:v>
      </x:c>
      <x:c r="H36" s="108" t="str">
        <x:v>1722-12-20</x:v>
      </x:c>
      <x:c r="I36" s="100" t="str">
        <x:v>确定</x:v>
      </x:c>
      <x:c r="J36" s="100" t="str">
        <x:v>审核中</x:v>
      </x:c>
      <x:c r="K36" s="100" t="str">
        <x:v>QH-SU-KX-0300A</x:v>
      </x:c>
      <x:c r="L36" s="100" t="str">
        <x:v>卷300；康熙六十一年十一月十三日；1/2；寅刻</x:v>
      </x:c>
      <x:c r="M36" s="100" t="str">
        <x:v>召皇三子誠親王允祉、皇七子淳郡王允祐、皇八子貝勒允禩、皇九子貝子允禟、皇十子敦郡王允䄉、皇十二子貝子允祹、皇十三子胤祥、理藩院尚書隆科多、至御榻前</x:v>
      </x:c>
      <x:c r="N36" s="100" t="str">
        <x:v>支持</x:v>
      </x:c>
      <x:c r="O36" s="100" t="str">
        <x:v>明确记载</x:v>
      </x:c>
      <x:c r="P36" s="100" t="str">
        <x:v>强</x:v>
      </x:c>
      <x:c r="Q36" s="100" t="str">
        <x:v>QH-SF-QSL-KX</x:v>
      </x:c>
      <x:c r="R36" s="100" t="str"/>
      <x:c r="S36" s="100" t="str">
        <x:v>结构化导入</x:v>
      </x:c>
      <x:c r="T36" s="100" t="str">
        <x:v>AI</x:v>
      </x:c>
      <x:c r="U36" s="100" t="str"/>
      <x:c r="V36" s="108" t="str"/>
      <x:c r="W36" s="100" t="str">
        <x:v>名单以本条用字为准：允祉/允祐/允禩/允禟/允䄉/允祹与胤祥并存。皇四子不在此名单。皇七子允祐人物ID为QH-P-000061。已有ID：QH-P-000005、000061、000007、000008、000009、000010、000011、000048。公历日级对照为1722-12-20；韩国页面仅标1722年；换算依通行年表，待独立历法库复核</x:v>
      </x:c>
    </x:row>
    <x:row r="37" ht="34" customHeight="1">
      <x:c r="A37" s="100" t="str">
        <x:v>QH-A-KX-0033</x:v>
      </x:c>
      <x:c r="B37" s="100" t="str">
        <x:v>称号授予</x:v>
      </x:c>
      <x:c r="C37" s="100" t="str">
        <x:v>QH-P-000001</x:v>
      </x:c>
      <x:c r="D37" s="100" t="str">
        <x:v>oral_designated_successor</x:v>
      </x:c>
      <x:c r="E37" s="100" t="str">
        <x:v>QH-P-000002</x:v>
      </x:c>
      <x:c r="F37" s="100" t="str">
        <x:v>康熙六十一年十一月十三日寅刻</x:v>
      </x:c>
      <x:c r="G37" s="108" t="str">
        <x:v>1722-12-20</x:v>
      </x:c>
      <x:c r="H37" s="108" t="str">
        <x:v>1722-12-20</x:v>
      </x:c>
      <x:c r="I37" s="100" t="str">
        <x:v>确定</x:v>
      </x:c>
      <x:c r="J37" s="100" t="str">
        <x:v>审核中</x:v>
      </x:c>
      <x:c r="K37" s="100" t="str">
        <x:v>QH-SU-KX-0300A</x:v>
      </x:c>
      <x:c r="L37" s="100" t="str">
        <x:v>卷300；康熙六十一年十一月十三日；1/2；御榻前口谕</x:v>
      </x:c>
      <x:c r="M37" s="100" t="str">
        <x:v>著繼朕登基、即皇帝位</x:v>
      </x:c>
      <x:c r="N37" s="100" t="str">
        <x:v>支持</x:v>
      </x:c>
      <x:c r="O37" s="100" t="str">
        <x:v>明确记载</x:v>
      </x:c>
      <x:c r="P37" s="100" t="str">
        <x:v>强</x:v>
      </x:c>
      <x:c r="Q37" s="100" t="str">
        <x:v>QH-SF-QSL-KX</x:v>
      </x:c>
      <x:c r="R37" s="100" t="str">
        <x:v>QH-CF-KX-SUCCESSION</x:v>
      </x:c>
      <x:c r="S37" s="100" t="str">
        <x:v>结构化导入</x:v>
      </x:c>
      <x:c r="T37" s="100" t="str">
        <x:v>AI</x:v>
      </x:c>
      <x:c r="U37" s="100" t="str"/>
      <x:c r="V37" s="108" t="str"/>
      <x:c r="W37" s="100" t="str">
        <x:v>这是御榻前口谕，与同日第2/2条遗诏文本分层。只证明现存实录本如此记载，不能单独解决口谕是否实有、何时形成或与遗诏关系。公历日级对照为1722-12-20；韩国页面仅标1722年；换算依通行年表，待独立历法库复核</x:v>
      </x:c>
    </x:row>
    <x:row r="38" ht="34" customHeight="1">
      <x:c r="A38" s="100" t="str">
        <x:v>QH-A-KX-0034</x:v>
      </x:c>
      <x:c r="B38" s="100" t="str">
        <x:v>事件发生</x:v>
      </x:c>
      <x:c r="C38" s="100" t="str">
        <x:v>QH-P-000001</x:v>
      </x:c>
      <x:c r="D38" s="100" t="str">
        <x:v>arrived_at_sleeping_palace</x:v>
      </x:c>
      <x:c r="E38" s="100" t="str">
        <x:v>QH-P-000002</x:v>
      </x:c>
      <x:c r="F38" s="100" t="str">
        <x:v>康熙六十一年十一月十三日巳刻</x:v>
      </x:c>
      <x:c r="G38" s="108" t="str">
        <x:v>1722-12-20</x:v>
      </x:c>
      <x:c r="H38" s="108" t="str">
        <x:v>1722-12-20</x:v>
      </x:c>
      <x:c r="I38" s="100" t="str">
        <x:v>确定</x:v>
      </x:c>
      <x:c r="J38" s="100" t="str">
        <x:v>审核中</x:v>
      </x:c>
      <x:c r="K38" s="100" t="str">
        <x:v>QH-SU-KX-0300A</x:v>
      </x:c>
      <x:c r="L38" s="100" t="str">
        <x:v>卷300；康熙六十一年十一月十三日；1/2；巳刻</x:v>
      </x:c>
      <x:c r="M38" s="100" t="str">
        <x:v>巳刻。趨進寢宮</x:v>
      </x:c>
      <x:c r="N38" s="100" t="str">
        <x:v>支持</x:v>
      </x:c>
      <x:c r="O38" s="100" t="str">
        <x:v>明确记载</x:v>
      </x:c>
      <x:c r="P38" s="100" t="str">
        <x:v>强</x:v>
      </x:c>
      <x:c r="Q38" s="100" t="str">
        <x:v>QH-SF-QSL-KX</x:v>
      </x:c>
      <x:c r="R38" s="100" t="str"/>
      <x:c r="S38" s="100" t="str">
        <x:v>结构化导入</x:v>
      </x:c>
      <x:c r="T38" s="100" t="str">
        <x:v>AI</x:v>
      </x:c>
      <x:c r="U38" s="100" t="str"/>
      <x:c r="V38" s="108" t="str"/>
      <x:c r="W38" s="100" t="str">
        <x:v>本条记巳刻趋进寝宫；不写畅春园。与寅刻口谕的时间差按原文保留，不作路程推算。公历日级对照为1722-12-20；韩国页面仅标1722年；换算依通行年表，待独立历法库复核</x:v>
      </x:c>
    </x:row>
    <x:row r="39" ht="34" customHeight="1">
      <x:c r="A39" s="100" t="str">
        <x:v>QH-A-KX-0035</x:v>
      </x:c>
      <x:c r="B39" s="100" t="str">
        <x:v>文字或数值陈述</x:v>
      </x:c>
      <x:c r="C39" s="100" t="str">
        <x:v>QH-P-000001</x:v>
      </x:c>
      <x:c r="D39" s="100" t="str">
        <x:v>explained_worsening_illness</x:v>
      </x:c>
      <x:c r="E39" s="100" t="str">
        <x:v>病势日臻</x:v>
      </x:c>
      <x:c r="F39" s="100" t="str">
        <x:v>康熙六十一年十一月十三日巳刻</x:v>
      </x:c>
      <x:c r="G39" s="108" t="str">
        <x:v>1722-12-20</x:v>
      </x:c>
      <x:c r="H39" s="108" t="str">
        <x:v>1722-12-20</x:v>
      </x:c>
      <x:c r="I39" s="100" t="str">
        <x:v>确定</x:v>
      </x:c>
      <x:c r="J39" s="100" t="str">
        <x:v>审核中</x:v>
      </x:c>
      <x:c r="K39" s="100" t="str">
        <x:v>QH-SU-KX-0300A</x:v>
      </x:c>
      <x:c r="L39" s="100" t="str">
        <x:v>卷300；康熙六十一年十一月十三日；1/2</x:v>
      </x:c>
      <x:c r="M39" s="100" t="str">
        <x:v>上告以病勢日臻之故</x:v>
      </x:c>
      <x:c r="N39" s="100" t="str">
        <x:v>支持</x:v>
      </x:c>
      <x:c r="O39" s="100" t="str">
        <x:v>明确记载</x:v>
      </x:c>
      <x:c r="P39" s="100" t="str">
        <x:v>强</x:v>
      </x:c>
      <x:c r="Q39" s="100" t="str">
        <x:v>QH-SF-QSL-KX</x:v>
      </x:c>
      <x:c r="R39" s="100" t="str"/>
      <x:c r="S39" s="100" t="str">
        <x:v>结构化导入</x:v>
      </x:c>
      <x:c r="T39" s="100" t="str">
        <x:v>AI</x:v>
      </x:c>
      <x:c r="U39" s="100" t="str"/>
      <x:c r="V39" s="108" t="str"/>
      <x:c r="W39" s="100" t="str">
        <x:v>只记录实录所载告知内容；对话其余部分本条未写。公历日级对照为1722-12-20；韩国页面仅标1722年；换算依通行年表，待独立历法库复核</x:v>
      </x:c>
    </x:row>
    <x:row r="40" ht="34" customHeight="1">
      <x:c r="A40" s="100" t="str">
        <x:v>QH-A-KX-0036</x:v>
      </x:c>
      <x:c r="B40" s="100" t="str">
        <x:v>事件发生</x:v>
      </x:c>
      <x:c r="C40" s="100" t="str">
        <x:v>QH-P-000001</x:v>
      </x:c>
      <x:c r="D40" s="100" t="str">
        <x:v>visited_to_ask_after_health</x:v>
      </x:c>
      <x:c r="E40" s="100" t="str">
        <x:v>QH-P-000002</x:v>
      </x:c>
      <x:c r="F40" s="100" t="str">
        <x:v>康熙六十一年十一月十三日</x:v>
      </x:c>
      <x:c r="G40" s="108" t="str">
        <x:v>1722-12-20</x:v>
      </x:c>
      <x:c r="H40" s="108" t="str">
        <x:v>1722-12-20</x:v>
      </x:c>
      <x:c r="I40" s="100" t="str">
        <x:v>确定</x:v>
      </x:c>
      <x:c r="J40" s="100" t="str">
        <x:v>审核中</x:v>
      </x:c>
      <x:c r="K40" s="100" t="str">
        <x:v>QH-SU-KX-0300A</x:v>
      </x:c>
      <x:c r="L40" s="100" t="str">
        <x:v>卷300；康熙六十一年十一月十三日；1/2</x:v>
      </x:c>
      <x:c r="M40" s="100" t="str">
        <x:v>皇四子胤禛三次進見問安</x:v>
      </x:c>
      <x:c r="N40" s="100" t="str">
        <x:v>支持</x:v>
      </x:c>
      <x:c r="O40" s="100" t="str">
        <x:v>明确记载</x:v>
      </x:c>
      <x:c r="P40" s="100" t="str">
        <x:v>强</x:v>
      </x:c>
      <x:c r="Q40" s="100" t="str">
        <x:v>QH-SF-QSL-KX</x:v>
      </x:c>
      <x:c r="R40" s="100" t="str"/>
      <x:c r="S40" s="100" t="str">
        <x:v>结构化导入</x:v>
      </x:c>
      <x:c r="T40" s="100" t="str">
        <x:v>AI</x:v>
      </x:c>
      <x:c r="U40" s="100" t="str"/>
      <x:c r="V40" s="108" t="str"/>
      <x:c r="W40" s="100" t="str">
        <x:v>三次的具体时刻除巳刻趋进外，本条未再拆。公历日级对照为1722-12-20；韩国页面仅标1722年；换算依通行年表，待独立历法库复核</x:v>
      </x:c>
    </x:row>
    <x:row r="41" ht="34" customHeight="1">
      <x:c r="A41" s="100" t="str">
        <x:v>QH-A-KX-0037</x:v>
      </x:c>
      <x:c r="B41" s="100" t="str">
        <x:v>事件发生</x:v>
      </x:c>
      <x:c r="C41" s="100" t="str">
        <x:v>QH-P-000001</x:v>
      </x:c>
      <x:c r="D41" s="100" t="str">
        <x:v>died_at</x:v>
      </x:c>
      <x:c r="E41" s="100" t="str">
        <x:v>寝宫</x:v>
      </x:c>
      <x:c r="F41" s="100" t="str">
        <x:v>康熙六十一年十一月十三日戌刻</x:v>
      </x:c>
      <x:c r="G41" s="108" t="str">
        <x:v>1722-12-20</x:v>
      </x:c>
      <x:c r="H41" s="108" t="str">
        <x:v>1722-12-20</x:v>
      </x:c>
      <x:c r="I41" s="100" t="str">
        <x:v>确定</x:v>
      </x:c>
      <x:c r="J41" s="100" t="str">
        <x:v>审核中</x:v>
      </x:c>
      <x:c r="K41" s="100" t="str">
        <x:v>QH-SU-KX-0300A</x:v>
      </x:c>
      <x:c r="L41" s="100" t="str">
        <x:v>卷300；康熙六十一年十一月十三日；1/2；戌刻</x:v>
      </x:c>
      <x:c r="M41" s="100" t="str">
        <x:v>戌刻。上崩於寢宮</x:v>
      </x:c>
      <x:c r="N41" s="100" t="str">
        <x:v>支持</x:v>
      </x:c>
      <x:c r="O41" s="100" t="str">
        <x:v>明确记载</x:v>
      </x:c>
      <x:c r="P41" s="100" t="str">
        <x:v>强</x:v>
      </x:c>
      <x:c r="Q41" s="100" t="str">
        <x:v>QH-SF-QSL-KX</x:v>
      </x:c>
      <x:c r="R41" s="100" t="str"/>
      <x:c r="S41" s="100" t="str">
        <x:v>结构化导入</x:v>
      </x:c>
      <x:c r="T41" s="100" t="str">
        <x:v>AI</x:v>
      </x:c>
      <x:c r="U41" s="100" t="str"/>
      <x:c r="V41" s="108" t="str"/>
      <x:c r="W41" s="100" t="str">
        <x:v>地点以本条用词「寝宫」为准，不得据此条写成畅春园或清溪书屋。时辰保留戌刻，不换算成钟点。死因本条未记。公历日级对照为1722-12-20；韩国页面仅标1722年；换算依通行年表，待独立历法库复核</x:v>
      </x:c>
    </x:row>
    <x:row r="42" ht="34" customHeight="1">
      <x:c r="A42" s="100" t="str">
        <x:v>QH-A-KX-0038</x:v>
      </x:c>
      <x:c r="B42" s="100" t="str">
        <x:v>事件参与</x:v>
      </x:c>
      <x:c r="C42" s="100" t="str">
        <x:v>QH-P-000001</x:v>
      </x:c>
      <x:c r="D42" s="100" t="str">
        <x:v>present_at_bedside</x:v>
      </x:c>
      <x:c r="E42" s="100" t="str">
        <x:v>QH-P-000048</x:v>
      </x:c>
      <x:c r="F42" s="100" t="str">
        <x:v>康熙六十一年十一月十三日寅刻</x:v>
      </x:c>
      <x:c r="G42" s="108" t="str">
        <x:v>1722-12-20</x:v>
      </x:c>
      <x:c r="H42" s="108" t="str">
        <x:v>1722-12-20</x:v>
      </x:c>
      <x:c r="I42" s="100" t="str">
        <x:v>确定</x:v>
      </x:c>
      <x:c r="J42" s="100" t="str">
        <x:v>审核中</x:v>
      </x:c>
      <x:c r="K42" s="100" t="str">
        <x:v>QH-SU-KX-0300A</x:v>
      </x:c>
      <x:c r="L42" s="100" t="str">
        <x:v>卷300；康熙六十一年十一月十三日；1/2；寅刻</x:v>
      </x:c>
      <x:c r="M42" s="100" t="str">
        <x:v>理藩院尚書隆科多、至御榻前</x:v>
      </x:c>
      <x:c r="N42" s="100" t="str">
        <x:v>支持</x:v>
      </x:c>
      <x:c r="O42" s="100" t="str">
        <x:v>明确记载</x:v>
      </x:c>
      <x:c r="P42" s="100" t="str">
        <x:v>强</x:v>
      </x:c>
      <x:c r="Q42" s="100" t="str">
        <x:v>QH-SF-QSL-KX</x:v>
      </x:c>
      <x:c r="R42" s="100" t="str"/>
      <x:c r="S42" s="100" t="str">
        <x:v>结构化导入</x:v>
      </x:c>
      <x:c r="T42" s="100" t="str">
        <x:v>AI</x:v>
      </x:c>
      <x:c r="U42" s="100" t="str"/>
      <x:c r="V42" s="108" t="str"/>
      <x:c r="W42" s="100" t="str">
        <x:v>证明该实录版本记隆科多被召至御榻前。本条未写畅春园，故不能单独回答「是否在畅春园现场」。职衔以理藩院尚书为准。公历日级对照为1722-12-20；韩国页面仅标1722年；换算依通行年表，待独立历法库复核</x:v>
      </x:c>
    </x:row>
    <x:row r="43" ht="34" customHeight="1">
      <x:c r="A43" s="100" t="str">
        <x:v>QH-A-KX-0039</x:v>
      </x:c>
      <x:c r="B43" s="100" t="str">
        <x:v>事件发生</x:v>
      </x:c>
      <x:c r="C43" s="100" t="str">
        <x:v>QH-P-000023</x:v>
      </x:c>
      <x:c r="D43" s="100" t="str">
        <x:v>invested_as_empress</x:v>
      </x:c>
      <x:c r="E43" s="100" t="str">
        <x:v>皇后</x:v>
      </x:c>
      <x:c r="F43" s="100" t="str">
        <x:v>康熙四年七月</x:v>
      </x:c>
      <x:c r="G43" s="108" t="str">
        <x:v>1665-08-11</x:v>
      </x:c>
      <x:c r="H43" s="108" t="str">
        <x:v>1665-09-08</x:v>
      </x:c>
      <x:c r="I43" s="100" t="str">
        <x:v>确定</x:v>
      </x:c>
      <x:c r="J43" s="100" t="str">
        <x:v>审核中</x:v>
      </x:c>
      <x:c r="K43" s="100" t="str">
        <x:v>QH-SU-QSG-0214</x:v>
      </x:c>
      <x:c r="L43" s="100" t="str">
        <x:v>卷214；孝诚仁皇后传</x:v>
      </x:c>
      <x:c r="M43" s="100" t="str">
        <x:v>康熙四年七月，冊為皇后。</x:v>
      </x:c>
      <x:c r="N43" s="100" t="str">
        <x:v>支持</x:v>
      </x:c>
      <x:c r="O43" s="100" t="str">
        <x:v>明确记载</x:v>
      </x:c>
      <x:c r="P43" s="100" t="str">
        <x:v>中</x:v>
      </x:c>
      <x:c r="Q43" s="100" t="str">
        <x:v>QH-SF-QSG</x:v>
      </x:c>
      <x:c r="R43" s="100" t="str">
        <x:v>QH-CF-KX-EMPRESS-DATE</x:v>
      </x:c>
      <x:c r="S43" s="100" t="str">
        <x:v>结构化导入</x:v>
      </x:c>
      <x:c r="T43" s="100" t="str">
        <x:v>AI</x:v>
      </x:c>
      <x:c r="U43" s="100" t="str"/>
      <x:c r="V43" s="108" t="str"/>
      <x:c r="W43" s="100" t="str">
        <x:v>后妃传只写七月，无干支日。与本纪六「四年九月辛卯」冲突，两说并存，不择一。公历为康熙四年七月整月起止，待历法库复核。不得据此写成「最爱」或冲喜。</x:v>
      </x:c>
    </x:row>
    <x:row r="44" ht="34" customHeight="1">
      <x:c r="A44" s="100" t="str">
        <x:v>QH-A-KX-0040</x:v>
      </x:c>
      <x:c r="B44" s="100" t="str">
        <x:v>事件发生</x:v>
      </x:c>
      <x:c r="C44" s="100" t="str">
        <x:v>QH-P-000023</x:v>
      </x:c>
      <x:c r="D44" s="100" t="str">
        <x:v>invested_as_empress</x:v>
      </x:c>
      <x:c r="E44" s="100" t="str">
        <x:v>皇后</x:v>
      </x:c>
      <x:c r="F44" s="100" t="str">
        <x:v>康熙四年九月辛卯</x:v>
      </x:c>
      <x:c r="G44" s="108" t="str">
        <x:v>1665-10-16</x:v>
      </x:c>
      <x:c r="H44" s="108" t="str">
        <x:v>1665-10-16</x:v>
      </x:c>
      <x:c r="I44" s="100" t="str">
        <x:v>确定</x:v>
      </x:c>
      <x:c r="J44" s="100" t="str">
        <x:v>审核中</x:v>
      </x:c>
      <x:c r="K44" s="100" t="str">
        <x:v>QH-SU-QSG-0006</x:v>
      </x:c>
      <x:c r="L44" s="100" t="str">
        <x:v>卷6；康熙四年九月辛卯</x:v>
      </x:c>
      <x:c r="M44" s="100" t="str">
        <x:v>九月辛卯，冊赫舍里氏為皇后，輔臣索尼之孫女也。</x:v>
      </x:c>
      <x:c r="N44" s="100" t="str">
        <x:v>支持</x:v>
      </x:c>
      <x:c r="O44" s="100" t="str">
        <x:v>明确记载</x:v>
      </x:c>
      <x:c r="P44" s="100" t="str">
        <x:v>中</x:v>
      </x:c>
      <x:c r="Q44" s="100" t="str">
        <x:v>QH-SF-QSG</x:v>
      </x:c>
      <x:c r="R44" s="100" t="str">
        <x:v>QH-CF-KX-EMPRESS-DATE</x:v>
      </x:c>
      <x:c r="S44" s="100" t="str">
        <x:v>结构化导入</x:v>
      </x:c>
      <x:c r="T44" s="100" t="str">
        <x:v>AI</x:v>
      </x:c>
      <x:c r="U44" s="100" t="str"/>
      <x:c r="V44" s="108" t="str"/>
      <x:c r="W44" s="100" t="str">
        <x:v>本纪六作九月辛卯，并记为索尼孙女。与后妃传七月冲突。公历1665-10-16依通行年表（九月初八辛卯），待历法库复核。</x:v>
      </x:c>
    </x:row>
    <x:row r="45" ht="34" customHeight="1">
      <x:c r="A45" s="100" t="str">
        <x:v>QH-A-KX-0041</x:v>
      </x:c>
      <x:c r="B45" s="100" t="str">
        <x:v>事件发生</x:v>
      </x:c>
      <x:c r="C45" s="100" t="str">
        <x:v>QH-P-000023</x:v>
      </x:c>
      <x:c r="D45" s="100" t="str">
        <x:v>gave_birth_to</x:v>
      </x:c>
      <x:c r="E45" s="100" t="str">
        <x:v>QH-P-000004</x:v>
      </x:c>
      <x:c r="F45" s="100" t="str">
        <x:v>康熙十三年五月丙寅</x:v>
      </x:c>
      <x:c r="G45" s="108" t="str">
        <x:v>1674-06-06</x:v>
      </x:c>
      <x:c r="H45" s="108" t="str">
        <x:v>1674-06-06</x:v>
      </x:c>
      <x:c r="I45" s="100" t="str">
        <x:v>确定</x:v>
      </x:c>
      <x:c r="J45" s="100" t="str">
        <x:v>审核中</x:v>
      </x:c>
      <x:c r="K45" s="100" t="str">
        <x:v>QH-SU-QSG-0214</x:v>
      </x:c>
      <x:c r="L45" s="100" t="str">
        <x:v>卷214；孝诚仁皇后传</x:v>
      </x:c>
      <x:c r="M45" s="100" t="str">
        <x:v>十三年五月丙寅，生皇二子允礽，即於是日崩，年二十二。</x:v>
      </x:c>
      <x:c r="N45" s="100" t="str">
        <x:v>支持</x:v>
      </x:c>
      <x:c r="O45" s="100" t="str">
        <x:v>明确记载</x:v>
      </x:c>
      <x:c r="P45" s="100" t="str">
        <x:v>中</x:v>
      </x:c>
      <x:c r="Q45" s="100" t="str">
        <x:v>QH-SF-QSG</x:v>
      </x:c>
      <x:c r="R45" s="100" t="str"/>
      <x:c r="S45" s="100" t="str">
        <x:v>结构化导入</x:v>
      </x:c>
      <x:c r="T45" s="100" t="str">
        <x:v>AI</x:v>
      </x:c>
      <x:c r="U45" s="100" t="str"/>
      <x:c r="V45" s="108" t="str"/>
      <x:c r="W45" s="100" t="str">
        <x:v>后妃传作皇二子允礽；本纪六同日作皇子胤礽生。异写保留，不另开冲突。嫡出身份仍待玉牒。公历依通行年表，待历法库复核。</x:v>
      </x:c>
    </x:row>
    <x:row r="46" ht="34" customHeight="1">
      <x:c r="A46" s="100" t="str">
        <x:v>QH-A-KX-0042</x:v>
      </x:c>
      <x:c r="B46" s="100" t="str">
        <x:v>事件发生</x:v>
      </x:c>
      <x:c r="C46" s="100" t="str">
        <x:v>QH-P-000023</x:v>
      </x:c>
      <x:c r="D46" s="100" t="str">
        <x:v>died_on</x:v>
      </x:c>
      <x:c r="E46" s="100" t="str">
        <x:v>崩</x:v>
      </x:c>
      <x:c r="F46" s="100" t="str">
        <x:v>康熙十三年五月丙寅</x:v>
      </x:c>
      <x:c r="G46" s="108" t="str">
        <x:v>1674-06-06</x:v>
      </x:c>
      <x:c r="H46" s="108" t="str">
        <x:v>1674-06-06</x:v>
      </x:c>
      <x:c r="I46" s="100" t="str">
        <x:v>确定</x:v>
      </x:c>
      <x:c r="J46" s="100" t="str">
        <x:v>审核中</x:v>
      </x:c>
      <x:c r="K46" s="100" t="str">
        <x:v>QH-SU-QSG-0006</x:v>
      </x:c>
      <x:c r="L46" s="100" t="str">
        <x:v>卷6；康熙十三年五月丙寅</x:v>
      </x:c>
      <x:c r="M46" s="100" t="str">
        <x:v>五月丙寅，皇子胤礽生，皇后赫舍里氏崩。</x:v>
      </x:c>
      <x:c r="N46" s="100" t="str">
        <x:v>支持</x:v>
      </x:c>
      <x:c r="O46" s="100" t="str">
        <x:v>明确记载</x:v>
      </x:c>
      <x:c r="P46" s="100" t="str">
        <x:v>中</x:v>
      </x:c>
      <x:c r="Q46" s="100" t="str">
        <x:v>QH-SF-QSG</x:v>
      </x:c>
      <x:c r="R46" s="100" t="str"/>
      <x:c r="S46" s="100" t="str">
        <x:v>结构化导入</x:v>
      </x:c>
      <x:c r="T46" s="100" t="str">
        <x:v>AI</x:v>
      </x:c>
      <x:c r="U46" s="100" t="str"/>
      <x:c r="V46" s="108" t="str"/>
      <x:c r="W46" s="100" t="str">
        <x:v>本纪六与后妃传均作生育当日崩。死因、难产、下毒均未写，不得补写。地点本条未记。</x:v>
      </x:c>
    </x:row>
    <x:row r="47" ht="34" customHeight="1">
      <x:c r="A47" s="100" t="str">
        <x:v>QH-A-KX-0043</x:v>
      </x:c>
      <x:c r="B47" s="100" t="str">
        <x:v>事件发生</x:v>
      </x:c>
      <x:c r="C47" s="100" t="str">
        <x:v>QH-P-000023</x:v>
      </x:c>
      <x:c r="D47" s="100" t="str">
        <x:v>died_on</x:v>
      </x:c>
      <x:c r="E47" s="100" t="str">
        <x:v>崩</x:v>
      </x:c>
      <x:c r="F47" s="100" t="str">
        <x:v>康熙十三年五月初三日</x:v>
      </x:c>
      <x:c r="G47" s="108" t="str">
        <x:v>1674-06-06</x:v>
      </x:c>
      <x:c r="H47" s="108" t="str">
        <x:v>1674-06-06</x:v>
      </x:c>
      <x:c r="I47" s="100" t="str">
        <x:v>确定</x:v>
      </x:c>
      <x:c r="J47" s="100" t="str">
        <x:v>审核中</x:v>
      </x:c>
      <x:c r="K47" s="100" t="str">
        <x:v>QH-SU-KX-0048</x:v>
      </x:c>
      <x:c r="L47" s="100" t="str">
        <x:v>卷48；辛酉颁诏</x:v>
      </x:c>
      <x:c r="M47" s="100" t="str">
        <x:v>茲於康熙十三年五月初三日崩逝。</x:v>
      </x:c>
      <x:c r="N47" s="100" t="str">
        <x:v>支持</x:v>
      </x:c>
      <x:c r="O47" s="100" t="str">
        <x:v>明确记载</x:v>
      </x:c>
      <x:c r="P47" s="100" t="str">
        <x:v>强</x:v>
      </x:c>
      <x:c r="Q47" s="100" t="str">
        <x:v>QH-SF-QSL-KX</x:v>
      </x:c>
      <x:c r="R47" s="100" t="str"/>
      <x:c r="S47" s="100" t="str">
        <x:v>结构化导入</x:v>
      </x:c>
      <x:c r="T47" s="100" t="str">
        <x:v>AI</x:v>
      </x:c>
      <x:c r="U47" s="100" t="str"/>
      <x:c r="V47" s="108" t="str"/>
      <x:c r="W47" s="100" t="str">
        <x:v>实录颁诏给出月日「初三日」，与本纪/后妃传「五月丙寅」同日口径。氏族作何舍里氏，是赫舍里异写。ctext转录，待回韩国站核条次。</x:v>
      </x:c>
    </x:row>
    <x:row r="48" ht="34" customHeight="1">
      <x:c r="A48" s="100" t="str">
        <x:v>QH-A-KX-0044</x:v>
      </x:c>
      <x:c r="B48" s="100" t="str">
        <x:v>文字或数值陈述</x:v>
      </x:c>
      <x:c r="C48" s="100" t="str">
        <x:v>QH-P-000023</x:v>
      </x:c>
      <x:c r="D48" s="100" t="str">
        <x:v>posthumous_title_conferred</x:v>
      </x:c>
      <x:c r="E48" s="100" t="str">
        <x:v>仁孝皇后</x:v>
      </x:c>
      <x:c r="F48" s="100" t="str">
        <x:v>康熙十三年六月二十七日</x:v>
      </x:c>
      <x:c r="G48" s="108" t="str">
        <x:v>1674-07-29</x:v>
      </x:c>
      <x:c r="H48" s="108" t="str">
        <x:v>1674-07-29</x:v>
      </x:c>
      <x:c r="I48" s="100" t="str">
        <x:v>确定</x:v>
      </x:c>
      <x:c r="J48" s="100" t="str">
        <x:v>审核中</x:v>
      </x:c>
      <x:c r="K48" s="100" t="str">
        <x:v>QH-SU-KX-0048</x:v>
      </x:c>
      <x:c r="L48" s="100" t="str">
        <x:v>卷48；辛酉颁诏</x:v>
      </x:c>
      <x:c r="M48" s="100" t="str">
        <x:v>本年六月二十七日、冊謚為仁孝皇后禮成。</x:v>
      </x:c>
      <x:c r="N48" s="100" t="str">
        <x:v>支持</x:v>
      </x:c>
      <x:c r="O48" s="100" t="str">
        <x:v>明确记载</x:v>
      </x:c>
      <x:c r="P48" s="100" t="str">
        <x:v>强</x:v>
      </x:c>
      <x:c r="Q48" s="100" t="str">
        <x:v>QH-SF-QSL-KX</x:v>
      </x:c>
      <x:c r="R48" s="100" t="str"/>
      <x:c r="S48" s="100" t="str">
        <x:v>结构化导入</x:v>
      </x:c>
      <x:c r="T48" s="100" t="str">
        <x:v>AI</x:v>
      </x:c>
      <x:c r="U48" s="100" t="str"/>
      <x:c r="V48" s="108" t="str"/>
      <x:c r="W48" s="100" t="str">
        <x:v>初谥是仁孝皇后，不是后来的孝诚仁皇后。雍正改谥另条。公历待历法库复核。册文另称作朕元配。</x:v>
      </x:c>
    </x:row>
    <x:row r="49" ht="34" customHeight="1">
      <x:c r="A49" s="100" t="str">
        <x:v>QH-A-KX-0045</x:v>
      </x:c>
      <x:c r="B49" s="100" t="str">
        <x:v>事件发生</x:v>
      </x:c>
      <x:c r="C49" s="100" t="str">
        <x:v>QH-P-000060</x:v>
      </x:c>
      <x:c r="D49" s="100" t="str">
        <x:v>invested_as_empress</x:v>
      </x:c>
      <x:c r="E49" s="100" t="str">
        <x:v>皇后</x:v>
      </x:c>
      <x:c r="F49" s="100" t="str">
        <x:v>康熙十六年八月丙寅</x:v>
      </x:c>
      <x:c r="G49" s="108" t="str">
        <x:v>1677-09-18</x:v>
      </x:c>
      <x:c r="H49" s="108" t="str">
        <x:v>1677-09-18</x:v>
      </x:c>
      <x:c r="I49" s="100" t="str">
        <x:v>确定</x:v>
      </x:c>
      <x:c r="J49" s="100" t="str">
        <x:v>审核中</x:v>
      </x:c>
      <x:c r="K49" s="100" t="str">
        <x:v>QH-SU-QSG-0006</x:v>
      </x:c>
      <x:c r="L49" s="100" t="str">
        <x:v>卷6；康熙十六年八月丙寅</x:v>
      </x:c>
      <x:c r="M49" s="100" t="str">
        <x:v>丙寅，冊立貴妃鈕祜祿氏為皇后，佟佳氏為貴妃。</x:v>
      </x:c>
      <x:c r="N49" s="100" t="str">
        <x:v>支持</x:v>
      </x:c>
      <x:c r="O49" s="100" t="str">
        <x:v>明确记载</x:v>
      </x:c>
      <x:c r="P49" s="100" t="str">
        <x:v>中</x:v>
      </x:c>
      <x:c r="Q49" s="100" t="str">
        <x:v>QH-SF-QSG</x:v>
      </x:c>
      <x:c r="R49" s="100" t="str"/>
      <x:c r="S49" s="100" t="str">
        <x:v>结构化导入</x:v>
      </x:c>
      <x:c r="T49" s="100" t="str">
        <x:v>AI</x:v>
      </x:c>
      <x:c r="U49" s="100" t="str"/>
      <x:c r="V49" s="108" t="str"/>
      <x:c r="W49" s="100" t="str">
        <x:v>本纪记由贵妃册为皇后。后妃传只写初为妃、十六年八月册为皇后，未写贵妃。称号以本纪当日用词为准。公历依通行年表，待历法库复核。</x:v>
      </x:c>
    </x:row>
    <x:row r="50" ht="34" customHeight="1">
      <x:c r="A50" s="100" t="str">
        <x:v>QH-A-KX-0046</x:v>
      </x:c>
      <x:c r="B50" s="100" t="str">
        <x:v>事件发生</x:v>
      </x:c>
      <x:c r="C50" s="100" t="str">
        <x:v>QH-P-000024</x:v>
      </x:c>
      <x:c r="D50" s="100" t="str">
        <x:v>invested_as_consort</x:v>
      </x:c>
      <x:c r="E50" s="100" t="str">
        <x:v>贵妃</x:v>
      </x:c>
      <x:c r="F50" s="100" t="str">
        <x:v>康熙十六年八月丙寅</x:v>
      </x:c>
      <x:c r="G50" s="108" t="str">
        <x:v>1677-09-18</x:v>
      </x:c>
      <x:c r="H50" s="108" t="str">
        <x:v>1677-09-18</x:v>
      </x:c>
      <x:c r="I50" s="100" t="str">
        <x:v>确定</x:v>
      </x:c>
      <x:c r="J50" s="100" t="str">
        <x:v>审核中</x:v>
      </x:c>
      <x:c r="K50" s="100" t="str">
        <x:v>QH-SU-QSG-0006</x:v>
      </x:c>
      <x:c r="L50" s="100" t="str">
        <x:v>卷6；康熙十六年八月丙寅</x:v>
      </x:c>
      <x:c r="M50" s="100" t="str">
        <x:v>丙寅，冊立貴妃鈕祜祿氏為皇后，佟佳氏為貴妃。</x:v>
      </x:c>
      <x:c r="N50" s="100" t="str">
        <x:v>支持</x:v>
      </x:c>
      <x:c r="O50" s="100" t="str">
        <x:v>明确记载</x:v>
      </x:c>
      <x:c r="P50" s="100" t="str">
        <x:v>中</x:v>
      </x:c>
      <x:c r="Q50" s="100" t="str">
        <x:v>QH-SF-QSG</x:v>
      </x:c>
      <x:c r="R50" s="100" t="str"/>
      <x:c r="S50" s="100" t="str">
        <x:v>结构化导入</x:v>
      </x:c>
      <x:c r="T50" s="100" t="str">
        <x:v>AI</x:v>
      </x:c>
      <x:c r="U50" s="100" t="str"/>
      <x:c r="V50" s="108" t="str"/>
      <x:c r="W50" s="100" t="str">
        <x:v>与孝昭册后同日。此时她是贵妃，不是皇后。后妃传作康熙十六年为贵妃，与本纪日级记录相合。</x:v>
      </x:c>
    </x:row>
    <x:row r="51" ht="34" customHeight="1">
      <x:c r="A51" s="100" t="str">
        <x:v>QH-A-KX-0047</x:v>
      </x:c>
      <x:c r="B51" s="100" t="str">
        <x:v>事件发生</x:v>
      </x:c>
      <x:c r="C51" s="100" t="str">
        <x:v>QH-P-000060</x:v>
      </x:c>
      <x:c r="D51" s="100" t="str">
        <x:v>died_on</x:v>
      </x:c>
      <x:c r="E51" s="100" t="str">
        <x:v>崩</x:v>
      </x:c>
      <x:c r="F51" s="100" t="str">
        <x:v>康熙十七年二月丁卯</x:v>
      </x:c>
      <x:c r="G51" s="108" t="str">
        <x:v>1678-03-18</x:v>
      </x:c>
      <x:c r="H51" s="108" t="str">
        <x:v>1678-03-18</x:v>
      </x:c>
      <x:c r="I51" s="100" t="str">
        <x:v>确定</x:v>
      </x:c>
      <x:c r="J51" s="100" t="str">
        <x:v>审核中</x:v>
      </x:c>
      <x:c r="K51" s="100" t="str">
        <x:v>QH-SU-QSG-0006</x:v>
      </x:c>
      <x:c r="L51" s="100" t="str">
        <x:v>卷6；康熙十七年二月丁卯</x:v>
      </x:c>
      <x:c r="M51" s="100" t="str">
        <x:v>丁卯，皇后鈕祜祿氏崩，謚曰孝昭皇后。</x:v>
      </x:c>
      <x:c r="N51" s="100" t="str">
        <x:v>支持</x:v>
      </x:c>
      <x:c r="O51" s="100" t="str">
        <x:v>明确记载</x:v>
      </x:c>
      <x:c r="P51" s="100" t="str">
        <x:v>中</x:v>
      </x:c>
      <x:c r="Q51" s="100" t="str">
        <x:v>QH-SF-QSG</x:v>
      </x:c>
      <x:c r="R51" s="100" t="str"/>
      <x:c r="S51" s="100" t="str">
        <x:v>结构化导入</x:v>
      </x:c>
      <x:c r="T51" s="100" t="str">
        <x:v>AI</x:v>
      </x:c>
      <x:c r="U51" s="100" t="str"/>
      <x:c r="V51" s="108" t="str"/>
      <x:c r="W51" s="100" t="str">
        <x:v>本纪将崩与初谥写在同一日条。后妃传只写十七年二月丁卯崩，未在此句写谥。不得写成克夫或宫斗。公历依通行年表，待历法库复核。</x:v>
      </x:c>
    </x:row>
    <x:row r="52" ht="34" customHeight="1">
      <x:c r="A52" s="100" t="str">
        <x:v>QH-A-KX-0048</x:v>
      </x:c>
      <x:c r="B52" s="100" t="str">
        <x:v>事件发生</x:v>
      </x:c>
      <x:c r="C52" s="100" t="str">
        <x:v>QH-P-000023</x:v>
      </x:c>
      <x:c r="D52" s="100" t="str">
        <x:v>buried_at</x:v>
      </x:c>
      <x:c r="E52" s="100" t="str">
        <x:v>昌瑞山陵</x:v>
      </x:c>
      <x:c r="F52" s="100" t="str">
        <x:v>康熙二十年三月辛酉</x:v>
      </x:c>
      <x:c r="G52" s="108" t="str">
        <x:v>1681-04-18</x:v>
      </x:c>
      <x:c r="H52" s="108" t="str">
        <x:v>1681-05-16</x:v>
      </x:c>
      <x:c r="I52" s="100" t="str">
        <x:v>约略</x:v>
      </x:c>
      <x:c r="J52" s="100" t="str">
        <x:v>审核中</x:v>
      </x:c>
      <x:c r="K52" s="100" t="str">
        <x:v>QH-SU-QSG-0006</x:v>
      </x:c>
      <x:c r="L52" s="100" t="str">
        <x:v>卷6；康熙二十年三月辛酉</x:v>
      </x:c>
      <x:c r="M52" s="100" t="str">
        <x:v>辛酉，葬仁孝皇后、孝昭皇后於昌瑞山陵。</x:v>
      </x:c>
      <x:c r="N52" s="100" t="str">
        <x:v>支持</x:v>
      </x:c>
      <x:c r="O52" s="100" t="str">
        <x:v>明确记载</x:v>
      </x:c>
      <x:c r="P52" s="100" t="str">
        <x:v>中</x:v>
      </x:c>
      <x:c r="Q52" s="100" t="str">
        <x:v>QH-SF-QSG</x:v>
      </x:c>
      <x:c r="R52" s="100" t="str"/>
      <x:c r="S52" s="100" t="str">
        <x:v>结构化导入</x:v>
      </x:c>
      <x:c r="T52" s="100" t="str">
        <x:v>AI</x:v>
      </x:c>
      <x:c r="U52" s="100" t="str"/>
      <x:c r="V52" s="108" t="str"/>
      <x:c r="W52" s="100" t="str">
        <x:v>本纪用昌瑞山陵，后妃传孝诚条作葬孝东陵之东即景陵。陵名异写待陵寝专题。公历仅到三月起止，辛酉日待历法库。孝昭同葬见时间轴，不另拆重复主张。</x:v>
      </x:c>
    </x:row>
    <x:row r="53" ht="34" customHeight="1">
      <x:c r="A53" s="100" t="str">
        <x:v>QH-A-KX-0049</x:v>
      </x:c>
      <x:c r="B53" s="100" t="str">
        <x:v>事件发生</x:v>
      </x:c>
      <x:c r="C53" s="100" t="str">
        <x:v>QH-P-000024</x:v>
      </x:c>
      <x:c r="D53" s="100" t="str">
        <x:v>invested_as_empress</x:v>
      </x:c>
      <x:c r="E53" s="100" t="str">
        <x:v>皇后</x:v>
      </x:c>
      <x:c r="F53" s="100" t="str">
        <x:v>康熙二十八年七月癸卯</x:v>
      </x:c>
      <x:c r="G53" s="108" t="str">
        <x:v>1689-08-23</x:v>
      </x:c>
      <x:c r="H53" s="108" t="str">
        <x:v>1689-08-23</x:v>
      </x:c>
      <x:c r="I53" s="100" t="str">
        <x:v>确定</x:v>
      </x:c>
      <x:c r="J53" s="100" t="str">
        <x:v>审核中</x:v>
      </x:c>
      <x:c r="K53" s="100" t="str">
        <x:v>QH-SU-QSG-0007</x:v>
      </x:c>
      <x:c r="L53" s="100" t="str">
        <x:v>卷7；康熙二十八年秋七月癸卯</x:v>
      </x:c>
      <x:c r="M53" s="100" t="str">
        <x:v>癸卯，冊立貴妃佟氏為皇后。</x:v>
      </x:c>
      <x:c r="N53" s="100" t="str">
        <x:v>支持</x:v>
      </x:c>
      <x:c r="O53" s="100" t="str">
        <x:v>明确记载</x:v>
      </x:c>
      <x:c r="P53" s="100" t="str">
        <x:v>中</x:v>
      </x:c>
      <x:c r="Q53" s="100" t="str">
        <x:v>QH-SF-QSG</x:v>
      </x:c>
      <x:c r="R53" s="100" t="str"/>
      <x:c r="S53" s="100" t="str">
        <x:v>结构化导入</x:v>
      </x:c>
      <x:c r="T53" s="100" t="str">
        <x:v>AI</x:v>
      </x:c>
      <x:c r="U53" s="100" t="str"/>
      <x:c r="V53" s="108" t="str"/>
      <x:c r="W53" s="100" t="str">
        <x:v>后妃传作二十八年七月病笃、册为皇后，无癸卯。本纪给出干支。此时由贵妃/皇贵妃册后，不是生下来就是皇后。公历依通行年表，待历法库复核。</x:v>
      </x:c>
    </x:row>
    <x:row r="54" ht="34" customHeight="1">
      <x:c r="A54" s="100" t="str">
        <x:v>QH-A-KX-0050</x:v>
      </x:c>
      <x:c r="B54" s="100" t="str">
        <x:v>事件发生</x:v>
      </x:c>
      <x:c r="C54" s="100" t="str">
        <x:v>QH-P-000024</x:v>
      </x:c>
      <x:c r="D54" s="100" t="str">
        <x:v>died_on</x:v>
      </x:c>
      <x:c r="E54" s="100" t="str">
        <x:v>崩</x:v>
      </x:c>
      <x:c r="F54" s="100" t="str">
        <x:v>康熙二十八年七月甲辰</x:v>
      </x:c>
      <x:c r="G54" s="108" t="str">
        <x:v>1689-08-24</x:v>
      </x:c>
      <x:c r="H54" s="108" t="str">
        <x:v>1689-08-24</x:v>
      </x:c>
      <x:c r="I54" s="100" t="str">
        <x:v>确定</x:v>
      </x:c>
      <x:c r="J54" s="100" t="str">
        <x:v>审核中</x:v>
      </x:c>
      <x:c r="K54" s="100" t="str">
        <x:v>QH-SU-QSG-0007</x:v>
      </x:c>
      <x:c r="L54" s="100" t="str">
        <x:v>卷7；康熙二十八年秋七月甲辰</x:v>
      </x:c>
      <x:c r="M54" s="100" t="str">
        <x:v>甲辰，皇后崩，諡曰孝懿。</x:v>
      </x:c>
      <x:c r="N54" s="100" t="str">
        <x:v>支持</x:v>
      </x:c>
      <x:c r="O54" s="100" t="str">
        <x:v>明确记载</x:v>
      </x:c>
      <x:c r="P54" s="100" t="str">
        <x:v>中</x:v>
      </x:c>
      <x:c r="Q54" s="100" t="str">
        <x:v>QH-SF-QSG</x:v>
      </x:c>
      <x:c r="R54" s="100" t="str"/>
      <x:c r="S54" s="100" t="str">
        <x:v>结构化导入</x:v>
      </x:c>
      <x:c r="T54" s="100" t="str">
        <x:v>AI</x:v>
      </x:c>
      <x:c r="U54" s="100" t="str"/>
      <x:c r="V54" s="108" t="str"/>
      <x:c r="W54" s="100" t="str">
        <x:v>后妃传作翌日甲辰崩，与本纪甲辰相合：册后次日崩，不是当日同时。不得写成谋杀或喜极而亡。她不是胤禛生母。</x:v>
      </x:c>
    </x:row>
    <x:row r="55" ht="34" customHeight="1">
      <x:c r="A55" s="100" t="str">
        <x:v>QH-A-KX-0051</x:v>
      </x:c>
      <x:c r="B55" s="100" t="str">
        <x:v>事件发生</x:v>
      </x:c>
      <x:c r="C55" s="100" t="str">
        <x:v>QH-P-000025</x:v>
      </x:c>
      <x:c r="D55" s="100" t="str">
        <x:v>gave_birth_to</x:v>
      </x:c>
      <x:c r="E55" s="100" t="str">
        <x:v>QH-P-000002</x:v>
      </x:c>
      <x:c r="F55" s="100" t="str">
        <x:v>康熙十七年十月丁酉</x:v>
      </x:c>
      <x:c r="G55" s="108" t="str">
        <x:v>1678-12-13</x:v>
      </x:c>
      <x:c r="H55" s="108" t="str">
        <x:v>1678-12-13</x:v>
      </x:c>
      <x:c r="I55" s="100" t="str">
        <x:v>确定</x:v>
      </x:c>
      <x:c r="J55" s="100" t="str">
        <x:v>审核中</x:v>
      </x:c>
      <x:c r="K55" s="100" t="str">
        <x:v>QH-SU-QSG-0214</x:v>
      </x:c>
      <x:c r="L55" s="100" t="str">
        <x:v>卷214；孝恭仁皇后传</x:v>
      </x:c>
      <x:c r="M55" s="100" t="str">
        <x:v>康熙十七年十月丁酉，世宗生。</x:v>
      </x:c>
      <x:c r="N55" s="100" t="str">
        <x:v>支持</x:v>
      </x:c>
      <x:c r="O55" s="100" t="str">
        <x:v>明确记载</x:v>
      </x:c>
      <x:c r="P55" s="100" t="str">
        <x:v>中</x:v>
      </x:c>
      <x:c r="Q55" s="100" t="str">
        <x:v>QH-SF-QSG</x:v>
      </x:c>
      <x:c r="R55" s="100" t="str"/>
      <x:c r="S55" s="100" t="str">
        <x:v>结构化导入</x:v>
      </x:c>
      <x:c r="T55" s="100" t="str">
        <x:v>AI</x:v>
      </x:c>
      <x:c r="U55" s="100" t="str"/>
      <x:c r="V55" s="108" t="str"/>
      <x:c r="W55" s="100" t="str">
        <x:v>后妃传此条证明生育世宗，不证明当时她是皇后。生母关系仍待玉牒核验。公历依通行年表，待历法库复核。</x:v>
      </x:c>
    </x:row>
    <x:row r="56" ht="34" customHeight="1">
      <x:c r="A56" s="100" t="str">
        <x:v>QH-A-KX-0052</x:v>
      </x:c>
      <x:c r="B56" s="100" t="str">
        <x:v>事件发生</x:v>
      </x:c>
      <x:c r="C56" s="100" t="str">
        <x:v>QH-P-000025</x:v>
      </x:c>
      <x:c r="D56" s="100" t="str">
        <x:v>invested_as_consort</x:v>
      </x:c>
      <x:c r="E56" s="100" t="str">
        <x:v>德嫔</x:v>
      </x:c>
      <x:c r="F56" s="100" t="str">
        <x:v>康熙十八年</x:v>
      </x:c>
      <x:c r="G56" s="108" t="str">
        <x:v>1679-02-11</x:v>
      </x:c>
      <x:c r="H56" s="108" t="str">
        <x:v>1680-01-30</x:v>
      </x:c>
      <x:c r="I56" s="100" t="str">
        <x:v>约略</x:v>
      </x:c>
      <x:c r="J56" s="100" t="str">
        <x:v>审核中</x:v>
      </x:c>
      <x:c r="K56" s="100" t="str">
        <x:v>QH-SU-QSG-0214</x:v>
      </x:c>
      <x:c r="L56" s="100" t="str">
        <x:v>卷214；孝恭仁皇后传</x:v>
      </x:c>
      <x:c r="M56" s="100" t="str">
        <x:v>十八年，為德嬪。</x:v>
      </x:c>
      <x:c r="N56" s="100" t="str">
        <x:v>支持</x:v>
      </x:c>
      <x:c r="O56" s="100" t="str">
        <x:v>明确记载</x:v>
      </x:c>
      <x:c r="P56" s="100" t="str">
        <x:v>中</x:v>
      </x:c>
      <x:c r="Q56" s="100" t="str">
        <x:v>QH-SF-QSG</x:v>
      </x:c>
      <x:c r="R56" s="100" t="str"/>
      <x:c r="S56" s="100" t="str">
        <x:v>结构化导入</x:v>
      </x:c>
      <x:c r="T56" s="100" t="str">
        <x:v>AI</x:v>
      </x:c>
      <x:c r="U56" s="100" t="str"/>
      <x:c r="V56" s="108" t="str"/>
      <x:c r="W56" s="100" t="str">
        <x:v>原纪年只到年。公历用康熙十八年整年起止，待历法库与册文日期。当时称号是德嫔，不是皇后。</x:v>
      </x:c>
    </x:row>
    <x:row r="57" ht="34" customHeight="1">
      <x:c r="A57" s="100" t="str">
        <x:v>QH-A-KX-0053</x:v>
      </x:c>
      <x:c r="B57" s="100" t="str">
        <x:v>事件发生</x:v>
      </x:c>
      <x:c r="C57" s="100" t="str">
        <x:v>QH-P-000025</x:v>
      </x:c>
      <x:c r="D57" s="100" t="str">
        <x:v>invested_as_consort</x:v>
      </x:c>
      <x:c r="E57" s="100" t="str">
        <x:v>德妃</x:v>
      </x:c>
      <x:c r="F57" s="100" t="str">
        <x:v>康熙二十年</x:v>
      </x:c>
      <x:c r="G57" s="108" t="str">
        <x:v>1681-01-29</x:v>
      </x:c>
      <x:c r="H57" s="108" t="str">
        <x:v>1682-02-16</x:v>
      </x:c>
      <x:c r="I57" s="100" t="str">
        <x:v>约略</x:v>
      </x:c>
      <x:c r="J57" s="100" t="str">
        <x:v>审核中</x:v>
      </x:c>
      <x:c r="K57" s="100" t="str">
        <x:v>QH-SU-QSG-0214</x:v>
      </x:c>
      <x:c r="L57" s="100" t="str">
        <x:v>卷214；孝恭仁皇后传</x:v>
      </x:c>
      <x:c r="M57" s="100" t="str">
        <x:v>二十年，進德妃。</x:v>
      </x:c>
      <x:c r="N57" s="100" t="str">
        <x:v>支持</x:v>
      </x:c>
      <x:c r="O57" s="100" t="str">
        <x:v>明确记载</x:v>
      </x:c>
      <x:c r="P57" s="100" t="str">
        <x:v>中</x:v>
      </x:c>
      <x:c r="Q57" s="100" t="str">
        <x:v>QH-SF-QSG</x:v>
      </x:c>
      <x:c r="R57" s="100" t="str"/>
      <x:c r="S57" s="100" t="str">
        <x:v>结构化导入</x:v>
      </x:c>
      <x:c r="T57" s="100" t="str">
        <x:v>AI</x:v>
      </x:c>
      <x:c r="U57" s="100" t="str"/>
      <x:c r="V57" s="108" t="str"/>
      <x:c r="W57" s="100" t="str">
        <x:v>后妃传所记康熙朝最高位号为德妃。不得把后来的孝恭仁皇后倒写成康熙朝皇后。原纪年只到年。</x:v>
      </x:c>
    </x:row>
    <x:row r="58" ht="34" customHeight="1">
      <x:c r="A58" s="100" t="str">
        <x:v>QH-A-KX-0054</x:v>
      </x:c>
      <x:c r="B58" s="100" t="str">
        <x:v>文字或数值陈述</x:v>
      </x:c>
      <x:c r="C58" s="100" t="str">
        <x:v>QH-P-000025</x:v>
      </x:c>
      <x:c r="D58" s="100" t="str">
        <x:v>honored_as_empress_dowager</x:v>
      </x:c>
      <x:c r="E58" s="100" t="str">
        <x:v>皇太后</x:v>
      </x:c>
      <x:c r="F58" s="100" t="str">
        <x:v>世宗即位</x:v>
      </x:c>
      <x:c r="G58" s="108" t="str">
        <x:v>1722-12-20</x:v>
      </x:c>
      <x:c r="H58" s="108" t="str">
        <x:v>1723-06-25</x:v>
      </x:c>
      <x:c r="I58" s="100" t="str">
        <x:v>约略</x:v>
      </x:c>
      <x:c r="J58" s="100" t="str">
        <x:v>审核中</x:v>
      </x:c>
      <x:c r="K58" s="100" t="str">
        <x:v>QH-SU-QSG-0214</x:v>
      </x:c>
      <x:c r="L58" s="100" t="str">
        <x:v>卷214；孝恭仁皇后传</x:v>
      </x:c>
      <x:c r="M58" s="100" t="str">
        <x:v>世宗即位，尊為皇太后，擬上徽號曰仁壽皇太后，未上冊。</x:v>
      </x:c>
      <x:c r="N58" s="100" t="str">
        <x:v>支持</x:v>
      </x:c>
      <x:c r="O58" s="100" t="str">
        <x:v>明确记载</x:v>
      </x:c>
      <x:c r="P58" s="100" t="str">
        <x:v>中</x:v>
      </x:c>
      <x:c r="Q58" s="100" t="str">
        <x:v>QH-SF-QSG</x:v>
      </x:c>
      <x:c r="R58" s="100" t="str">
        <x:v>QH-CF-YZ-RENSHOU</x:v>
      </x:c>
      <x:c r="S58" s="100" t="str">
        <x:v>结构化导入</x:v>
      </x:c>
      <x:c r="T58" s="100" t="str">
        <x:v>AI</x:v>
      </x:c>
      <x:c r="U58" s="100" t="str"/>
      <x:c r="V58" s="108" t="str"/>
      <x:c r="W58" s="100" t="str">
        <x:v>尊太后在雍正朝，不在康熙朝。后妃传明写拟徽号仁寿、未上册。本纪九崩条称仁寿皇太后，两说并存。起止公历用康熙崩日到她本人崩日，精确册尊日期待世宗实录。</x:v>
      </x:c>
    </x:row>
    <x:row r="59" ht="34" customHeight="1">
      <x:c r="A59" s="100" t="str">
        <x:v>QH-A-KX-0055</x:v>
      </x:c>
      <x:c r="B59" s="100" t="str">
        <x:v>文字或数值陈述</x:v>
      </x:c>
      <x:c r="C59" s="100" t="str">
        <x:v>QH-P-000025</x:v>
      </x:c>
      <x:c r="D59" s="100" t="str">
        <x:v>titled_as</x:v>
      </x:c>
      <x:c r="E59" s="100" t="str">
        <x:v>仁寿皇太后</x:v>
      </x:c>
      <x:c r="F59" s="100" t="str">
        <x:v>雍正元年五月辛丑</x:v>
      </x:c>
      <x:c r="G59" s="108" t="str">
        <x:v>1723-06-25</x:v>
      </x:c>
      <x:c r="H59" s="108" t="str">
        <x:v>1723-06-25</x:v>
      </x:c>
      <x:c r="I59" s="100" t="str">
        <x:v>确定</x:v>
      </x:c>
      <x:c r="J59" s="100" t="str">
        <x:v>审核中</x:v>
      </x:c>
      <x:c r="K59" s="100" t="str">
        <x:v>QH-SU-QSG-0009</x:v>
      </x:c>
      <x:c r="L59" s="100" t="str">
        <x:v>卷9；雍正元年五月辛丑</x:v>
      </x:c>
      <x:c r="M59" s="100" t="str">
        <x:v>辛丑，仁壽皇太后崩，帝之生母也。</x:v>
      </x:c>
      <x:c r="N59" s="100" t="str">
        <x:v>支持</x:v>
      </x:c>
      <x:c r="O59" s="100" t="str">
        <x:v>明确记载</x:v>
      </x:c>
      <x:c r="P59" s="100" t="str">
        <x:v>中</x:v>
      </x:c>
      <x:c r="Q59" s="100" t="str">
        <x:v>QH-SF-QSG</x:v>
      </x:c>
      <x:c r="R59" s="100" t="str">
        <x:v>QH-CF-YZ-RENSHOU</x:v>
      </x:c>
      <x:c r="S59" s="100" t="str">
        <x:v>结构化导入</x:v>
      </x:c>
      <x:c r="T59" s="100" t="str">
        <x:v>AI</x:v>
      </x:c>
      <x:c r="U59" s="100" t="str"/>
      <x:c r="V59" s="108" t="str"/>
      <x:c r="W59" s="100" t="str">
        <x:v>本纪九在崩条使用仁寿皇太后这一称呼，并点明帝之生母。不能单独用来否定后妃传「未上册」，只能登记冲突。</x:v>
      </x:c>
    </x:row>
    <x:row r="60" ht="34" customHeight="1">
      <x:c r="A60" s="100" t="str">
        <x:v>QH-A-KX-0056</x:v>
      </x:c>
      <x:c r="B60" s="100" t="str">
        <x:v>事件发生</x:v>
      </x:c>
      <x:c r="C60" s="100" t="str">
        <x:v>QH-P-000025</x:v>
      </x:c>
      <x:c r="D60" s="100" t="str">
        <x:v>died_on</x:v>
      </x:c>
      <x:c r="E60" s="100" t="str">
        <x:v>崩</x:v>
      </x:c>
      <x:c r="F60" s="100" t="str">
        <x:v>雍正元年五月辛丑</x:v>
      </x:c>
      <x:c r="G60" s="108" t="str">
        <x:v>1723-06-25</x:v>
      </x:c>
      <x:c r="H60" s="108" t="str">
        <x:v>1723-06-25</x:v>
      </x:c>
      <x:c r="I60" s="100" t="str">
        <x:v>确定</x:v>
      </x:c>
      <x:c r="J60" s="100" t="str">
        <x:v>审核中</x:v>
      </x:c>
      <x:c r="K60" s="100" t="str">
        <x:v>QH-SU-QSG-0214</x:v>
      </x:c>
      <x:c r="L60" s="100" t="str">
        <x:v>卷214；孝恭仁皇后传</x:v>
      </x:c>
      <x:c r="M60" s="100" t="str">
        <x:v>雍正元年五月辛丑，崩，年六十四。</x:v>
      </x:c>
      <x:c r="N60" s="100" t="str">
        <x:v>支持</x:v>
      </x:c>
      <x:c r="O60" s="100" t="str">
        <x:v>明确记载</x:v>
      </x:c>
      <x:c r="P60" s="100" t="str">
        <x:v>中</x:v>
      </x:c>
      <x:c r="Q60" s="100" t="str">
        <x:v>QH-SF-QSG</x:v>
      </x:c>
      <x:c r="R60" s="100" t="str"/>
      <x:c r="S60" s="100" t="str">
        <x:v>结构化导入</x:v>
      </x:c>
      <x:c r="T60" s="100" t="str">
        <x:v>AI</x:v>
      </x:c>
      <x:c r="U60" s="100" t="str"/>
      <x:c r="V60" s="108" t="str"/>
      <x:c r="W60" s="100" t="str">
        <x:v>后妃传与本纪九同日。年龄六十四仅此后妃传。葬景陵待陵寝专题。公历依通行年表，待历法库复核。</x:v>
      </x:c>
    </x:row>
    <x:row r="61" ht="34" customHeight="1">
      <x:c r="A61" s="100" t="str">
        <x:v>QH-A-KX-0057</x:v>
      </x:c>
      <x:c r="B61" s="100" t="str">
        <x:v>文字或数值陈述</x:v>
      </x:c>
      <x:c r="C61" s="100" t="str">
        <x:v>QH-P-000023</x:v>
      </x:c>
      <x:c r="D61" s="100" t="str">
        <x:v>posthumous_title_changed</x:v>
      </x:c>
      <x:c r="E61" s="100" t="str">
        <x:v>改谥</x:v>
      </x:c>
      <x:c r="F61" s="100" t="str">
        <x:v>雍正元年</x:v>
      </x:c>
      <x:c r="G61" s="108" t="str">
        <x:v>1723-02-05</x:v>
      </x:c>
      <x:c r="H61" s="108" t="str">
        <x:v>1724-01-24</x:v>
      </x:c>
      <x:c r="I61" s="100" t="str">
        <x:v>约略</x:v>
      </x:c>
      <x:c r="J61" s="100" t="str">
        <x:v>审核中</x:v>
      </x:c>
      <x:c r="K61" s="100" t="str">
        <x:v>QH-SU-QSG-0214</x:v>
      </x:c>
      <x:c r="L61" s="100" t="str">
        <x:v>卷214；孝诚仁皇后传</x:v>
      </x:c>
      <x:c r="M61" s="100" t="str">
        <x:v>雍正元年，改諡。</x:v>
      </x:c>
      <x:c r="N61" s="100" t="str">
        <x:v>支持</x:v>
      </x:c>
      <x:c r="O61" s="100" t="str">
        <x:v>明确记载</x:v>
      </x:c>
      <x:c r="P61" s="100" t="str">
        <x:v>中</x:v>
      </x:c>
      <x:c r="Q61" s="100" t="str">
        <x:v>QH-SF-QSG</x:v>
      </x:c>
      <x:c r="R61" s="100" t="str"/>
      <x:c r="S61" s="100" t="str">
        <x:v>结构化导入</x:v>
      </x:c>
      <x:c r="T61" s="100" t="str">
        <x:v>AI</x:v>
      </x:c>
      <x:c r="U61" s="100" t="str"/>
      <x:c r="V61" s="108" t="str"/>
      <x:c r="W61" s="100" t="str">
        <x:v>后妃传未写改成哪一个全谥。最终「孝诚仁皇后」是累加谥，不能当成康熙十三年的称号。原纪年只到年。</x:v>
      </x:c>
    </x:row>
    <x:row r="62" ht="34" customHeight="1">
      <x:c r="A62" s="100" t="str">
        <x:v>QH-A-KX-0058</x:v>
      </x:c>
      <x:c r="B62" s="100" t="str">
        <x:v>文字或数值陈述</x:v>
      </x:c>
      <x:c r="C62" s="100" t="str">
        <x:v>QH-P-000003</x:v>
      </x:c>
      <x:c r="D62" s="100" t="str">
        <x:v>table_birth_order</x:v>
      </x:c>
      <x:c r="E62" s="100" t="str">
        <x:v>圣祖第一子</x:v>
      </x:c>
      <x:c r="F62" s="100" t="str">
        <x:v>清史稿卷164圣祖系（表无生年）</x:v>
      </x:c>
      <x:c r="G62" s="108" t="str">
        <x:v>1661-02-07</x:v>
      </x:c>
      <x:c r="H62" s="108" t="str">
        <x:v>1722-12-20</x:v>
      </x:c>
      <x:c r="I62" s="100" t="str">
        <x:v>确定</x:v>
      </x:c>
      <x:c r="J62" s="100" t="str">
        <x:v>审核中</x:v>
      </x:c>
      <x:c r="K62" s="100" t="str">
        <x:v>QH-SU-QSG-0164</x:v>
      </x:c>
      <x:c r="L62" s="100" t="str">
        <x:v>卷164；圣祖系；胤禔行</x:v>
      </x:c>
      <x:c r="M62" s="100" t="str">
        <x:v>胤禔〈聖祖第一子。</x:v>
      </x:c>
      <x:c r="N62" s="100" t="str">
        <x:v>支持</x:v>
      </x:c>
      <x:c r="O62" s="100" t="str">
        <x:v>明确记载</x:v>
      </x:c>
      <x:c r="P62" s="100" t="str">
        <x:v>中</x:v>
      </x:c>
      <x:c r="Q62" s="100" t="str">
        <x:v>QH-SF-QSG</x:v>
      </x:c>
      <x:c r="R62" s="100" t="str">
        <x:v>QH-CF-KX-PRINCE-ORDER</x:v>
      </x:c>
      <x:c r="S62" s="100" t="str">
        <x:v>结构化导入</x:v>
      </x:c>
      <x:c r="T62" s="100" t="str">
        <x:v>AI</x:v>
      </x:c>
      <x:c r="U62" s="100" t="str"/>
      <x:c r="V62" s="108" t="str"/>
      <x:c r="W62" s="100" t="str">
        <x:v>这是皇子世表的表序，不是玉牒自然序。后妃传称承瑞为圣祖长子。两说并存。公历字段只标父皇在位起迄，不是胤禔生卒。</x:v>
      </x:c>
    </x:row>
    <x:row r="63" ht="34" customHeight="1">
      <x:c r="A63" s="100" t="str">
        <x:v>QH-A-KX-0059</x:v>
      </x:c>
      <x:c r="B63" s="100" t="str">
        <x:v>文字或数值陈述</x:v>
      </x:c>
      <x:c r="C63" s="100" t="str">
        <x:v>QH-P-000004</x:v>
      </x:c>
      <x:c r="D63" s="100" t="str">
        <x:v>table_birth_order</x:v>
      </x:c>
      <x:c r="E63" s="100" t="str">
        <x:v>圣祖第二子</x:v>
      </x:c>
      <x:c r="F63" s="100" t="str">
        <x:v>清史稿卷164圣祖系（表无生年）</x:v>
      </x:c>
      <x:c r="G63" s="108" t="str">
        <x:v>1661-02-07</x:v>
      </x:c>
      <x:c r="H63" s="108" t="str">
        <x:v>1722-12-20</x:v>
      </x:c>
      <x:c r="I63" s="100" t="str">
        <x:v>确定</x:v>
      </x:c>
      <x:c r="J63" s="100" t="str">
        <x:v>审核中</x:v>
      </x:c>
      <x:c r="K63" s="100" t="str">
        <x:v>QH-SU-QSG-0164</x:v>
      </x:c>
      <x:c r="L63" s="100" t="str">
        <x:v>卷164；圣祖系；胤礽行</x:v>
      </x:c>
      <x:c r="M63" s="100" t="str">
        <x:v>胤礽〈聖祖第二子。</x:v>
      </x:c>
      <x:c r="N63" s="100" t="str">
        <x:v>支持</x:v>
      </x:c>
      <x:c r="O63" s="100" t="str">
        <x:v>明确记载</x:v>
      </x:c>
      <x:c r="P63" s="100" t="str">
        <x:v>中</x:v>
      </x:c>
      <x:c r="Q63" s="100" t="str">
        <x:v>QH-SF-QSG</x:v>
      </x:c>
      <x:c r="R63" s="100" t="str"/>
      <x:c r="S63" s="100" t="str">
        <x:v>结构化导入</x:v>
      </x:c>
      <x:c r="T63" s="100" t="str">
        <x:v>AI</x:v>
      </x:c>
      <x:c r="U63" s="100" t="str"/>
      <x:c r="V63" s="108" t="str"/>
      <x:c r="W63" s="100" t="str">
        <x:v>世表第二子。后妃传作皇二子允礽，与此表序相合。不能用来否定承祐、承瑞的存在。公历不是生卒。</x:v>
      </x:c>
    </x:row>
    <x:row r="64" ht="34" customHeight="1">
      <x:c r="A64" s="100" t="str">
        <x:v>QH-A-KX-0060</x:v>
      </x:c>
      <x:c r="B64" s="100" t="str">
        <x:v>文字或数值陈述</x:v>
      </x:c>
      <x:c r="C64" s="100" t="str">
        <x:v>QH-P-000005</x:v>
      </x:c>
      <x:c r="D64" s="100" t="str">
        <x:v>table_birth_order</x:v>
      </x:c>
      <x:c r="E64" s="100" t="str">
        <x:v>圣祖第三子</x:v>
      </x:c>
      <x:c r="F64" s="100" t="str">
        <x:v>清史稿卷164圣祖系（表无生年）</x:v>
      </x:c>
      <x:c r="G64" s="108" t="str">
        <x:v>1661-02-07</x:v>
      </x:c>
      <x:c r="H64" s="108" t="str">
        <x:v>1722-12-20</x:v>
      </x:c>
      <x:c r="I64" s="100" t="str">
        <x:v>确定</x:v>
      </x:c>
      <x:c r="J64" s="100" t="str">
        <x:v>审核中</x:v>
      </x:c>
      <x:c r="K64" s="100" t="str">
        <x:v>QH-SU-QSG-0164</x:v>
      </x:c>
      <x:c r="L64" s="100" t="str">
        <x:v>卷164；圣祖系；胤祉行</x:v>
      </x:c>
      <x:c r="M64" s="100" t="str">
        <x:v>胤祉〈聖祖第三子。</x:v>
      </x:c>
      <x:c r="N64" s="100" t="str">
        <x:v>支持</x:v>
      </x:c>
      <x:c r="O64" s="100" t="str">
        <x:v>明确记载</x:v>
      </x:c>
      <x:c r="P64" s="100" t="str">
        <x:v>中</x:v>
      </x:c>
      <x:c r="Q64" s="100" t="str">
        <x:v>QH-SF-QSG</x:v>
      </x:c>
      <x:c r="R64" s="100" t="str"/>
      <x:c r="S64" s="100" t="str">
        <x:v>结构化导入</x:v>
      </x:c>
      <x:c r="T64" s="100" t="str">
        <x:v>AI</x:v>
      </x:c>
      <x:c r="U64" s="100" t="str"/>
      <x:c r="V64" s="108" t="str"/>
      <x:c r="W64" s="100" t="str">
        <x:v>表序第三。下一号第四子在本卷无行。公历不是生卒。</x:v>
      </x:c>
    </x:row>
    <x:row r="65" ht="34" customHeight="1">
      <x:c r="A65" s="100" t="str">
        <x:v>QH-A-KX-0061</x:v>
      </x:c>
      <x:c r="B65" s="100" t="str">
        <x:v>文字或数值陈述</x:v>
      </x:c>
      <x:c r="C65" s="100" t="str">
        <x:v>QH-P-000002</x:v>
      </x:c>
      <x:c r="D65" s="100" t="str">
        <x:v>absent_from_volume</x:v>
      </x:c>
      <x:c r="E65" s="100" t="str">
        <x:v>清史稿卷164圣祖系无第四子行</x:v>
      </x:c>
      <x:c r="F65" s="100" t="str">
        <x:v>清史稿卷164圣祖系（表无生年）</x:v>
      </x:c>
      <x:c r="G65" s="108" t="str">
        <x:v>1661-02-07</x:v>
      </x:c>
      <x:c r="H65" s="108" t="str">
        <x:v>1722-12-20</x:v>
      </x:c>
      <x:c r="I65" s="100" t="str">
        <x:v>确定</x:v>
      </x:c>
      <x:c r="J65" s="100" t="str">
        <x:v>审核中</x:v>
      </x:c>
      <x:c r="K65" s="100" t="str">
        <x:v>QH-SU-QSG-0164</x:v>
      </x:c>
      <x:c r="L65" s="100" t="str">
        <x:v>卷164；圣祖系；第一子至第五子之间</x:v>
      </x:c>
      <x:c r="M65" s="100" t="str">
        <x:v>胤祉〈聖祖第三子。……胤祺〈聖祖第五子。</x:v>
      </x:c>
      <x:c r="N65" s="100" t="str">
        <x:v>支持</x:v>
      </x:c>
      <x:c r="O65" s="100" t="str">
        <x:v>明确记载</x:v>
      </x:c>
      <x:c r="P65" s="100" t="str">
        <x:v>中</x:v>
      </x:c>
      <x:c r="Q65" s="100" t="str">
        <x:v>QH-SF-QSG</x:v>
      </x:c>
      <x:c r="R65" s="100" t="str">
        <x:v>QH-CF-KX-PRINCE-ORDER</x:v>
      </x:c>
      <x:c r="S65" s="100" t="str">
        <x:v>结构化导入</x:v>
      </x:c>
      <x:c r="T65" s="100" t="str">
        <x:v>AI</x:v>
      </x:c>
      <x:c r="U65" s="100" t="str"/>
      <x:c r="V65" s="108" t="str"/>
      <x:c r="W65" s="100" t="str">
        <x:v>卷164在第三子与第五子之间跳号。不是证明康熙无第四子。实录和后妃传称皇四子/世宗。皇子世表按帝系分卷，第四子即后来世宗，子孙见卷165。</x:v>
      </x:c>
    </x:row>
    <x:row r="66" ht="34" customHeight="1">
      <x:c r="A66" s="100" t="str">
        <x:v>QH-A-KX-0062</x:v>
      </x:c>
      <x:c r="B66" s="100" t="str">
        <x:v>文字或数值陈述</x:v>
      </x:c>
      <x:c r="C66" s="100" t="str">
        <x:v>QH-P-000062</x:v>
      </x:c>
      <x:c r="D66" s="100" t="str">
        <x:v>table_birth_order</x:v>
      </x:c>
      <x:c r="E66" s="100" t="str">
        <x:v>圣祖第六子</x:v>
      </x:c>
      <x:c r="F66" s="100" t="str">
        <x:v>清史稿卷164圣祖系（表无生年）</x:v>
      </x:c>
      <x:c r="G66" s="108" t="str">
        <x:v>1661-02-07</x:v>
      </x:c>
      <x:c r="H66" s="108" t="str">
        <x:v>1722-12-20</x:v>
      </x:c>
      <x:c r="I66" s="100" t="str">
        <x:v>确定</x:v>
      </x:c>
      <x:c r="J66" s="100" t="str">
        <x:v>审核中</x:v>
      </x:c>
      <x:c r="K66" s="100" t="str">
        <x:v>QH-SU-QSG-0164</x:v>
      </x:c>
      <x:c r="L66" s="100" t="str">
        <x:v>卷164；圣祖系；胤祚行</x:v>
      </x:c>
      <x:c r="M66" s="100" t="str">
        <x:v>胤祚〈聖祖第六子。早卒〉</x:v>
      </x:c>
      <x:c r="N66" s="100" t="str">
        <x:v>支持</x:v>
      </x:c>
      <x:c r="O66" s="100" t="str">
        <x:v>明确记载</x:v>
      </x:c>
      <x:c r="P66" s="100" t="str">
        <x:v>中</x:v>
      </x:c>
      <x:c r="Q66" s="100" t="str">
        <x:v>QH-SF-QSG</x:v>
      </x:c>
      <x:c r="R66" s="100" t="str"/>
      <x:c r="S66" s="100" t="str">
        <x:v>结构化导入</x:v>
      </x:c>
      <x:c r="T66" s="100" t="str">
        <x:v>AI</x:v>
      </x:c>
      <x:c r="U66" s="100" t="str"/>
      <x:c r="V66" s="108" t="str"/>
      <x:c r="W66" s="100" t="str">
        <x:v>入序而早卒。六岁殇只见于后妃传孝恭条，不写进本条。公历不是生卒。</x:v>
      </x:c>
    </x:row>
    <x:row r="67" ht="34" customHeight="1">
      <x:c r="A67" s="100" t="str">
        <x:v>QH-A-KX-0063</x:v>
      </x:c>
      <x:c r="B67" s="100" t="str">
        <x:v>文字或数值陈述</x:v>
      </x:c>
      <x:c r="C67" s="100" t="str">
        <x:v>QH-P-000061</x:v>
      </x:c>
      <x:c r="D67" s="100" t="str">
        <x:v>table_birth_order</x:v>
      </x:c>
      <x:c r="E67" s="100" t="str">
        <x:v>圣祖第七子</x:v>
      </x:c>
      <x:c r="F67" s="100" t="str">
        <x:v>清史稿卷164圣祖系（表无生年）</x:v>
      </x:c>
      <x:c r="G67" s="108" t="str">
        <x:v>1661-02-07</x:v>
      </x:c>
      <x:c r="H67" s="108" t="str">
        <x:v>1722-12-20</x:v>
      </x:c>
      <x:c r="I67" s="100" t="str">
        <x:v>确定</x:v>
      </x:c>
      <x:c r="J67" s="100" t="str">
        <x:v>审核中</x:v>
      </x:c>
      <x:c r="K67" s="100" t="str">
        <x:v>QH-SU-QSG-0164</x:v>
      </x:c>
      <x:c r="L67" s="100" t="str">
        <x:v>卷164；圣祖系；胤祐行</x:v>
      </x:c>
      <x:c r="M67" s="100" t="str">
        <x:v>胤祐〈聖祖第七子。康熙三十九年封貝勒，四十八年晉淳郡王，雍正元年晉淳親王，八年薨，諡曰度〉</x:v>
      </x:c>
      <x:c r="N67" s="100" t="str">
        <x:v>支持</x:v>
      </x:c>
      <x:c r="O67" s="100" t="str">
        <x:v>明确记载</x:v>
      </x:c>
      <x:c r="P67" s="100" t="str">
        <x:v>中</x:v>
      </x:c>
      <x:c r="Q67" s="100" t="str">
        <x:v>QH-SF-QSG</x:v>
      </x:c>
      <x:c r="R67" s="100" t="str"/>
      <x:c r="S67" s="100" t="str">
        <x:v>结构化导入</x:v>
      </x:c>
      <x:c r="T67" s="100" t="str">
        <x:v>AI</x:v>
      </x:c>
      <x:c r="U67" s="100" t="str"/>
      <x:c r="V67" s="108" t="str"/>
      <x:c r="W67" s="100" t="str">
        <x:v>与实录崩逝条皇七子淳郡王允祐对应。世表用胤祐。公历不是生卒。</x:v>
      </x:c>
    </x:row>
    <x:row r="68" ht="34" customHeight="1">
      <x:c r="A68" s="100" t="str">
        <x:v>QH-A-KX-0064</x:v>
      </x:c>
      <x:c r="B68" s="100" t="str">
        <x:v>文字或数值陈述</x:v>
      </x:c>
      <x:c r="C68" s="100" t="str">
        <x:v>QH-P-000012</x:v>
      </x:c>
      <x:c r="D68" s="100" t="str">
        <x:v>named_in_table_as</x:v>
      </x:c>
      <x:c r="E68" s="100" t="str">
        <x:v>胤禎</x:v>
      </x:c>
      <x:c r="F68" s="100" t="str">
        <x:v>清史稿卷164圣祖系（表无生年）</x:v>
      </x:c>
      <x:c r="G68" s="108" t="str">
        <x:v>1661-02-07</x:v>
      </x:c>
      <x:c r="H68" s="108" t="str">
        <x:v>1722-12-20</x:v>
      </x:c>
      <x:c r="I68" s="100" t="str">
        <x:v>确定</x:v>
      </x:c>
      <x:c r="J68" s="100" t="str">
        <x:v>审核中</x:v>
      </x:c>
      <x:c r="K68" s="100" t="str">
        <x:v>QH-SU-QSG-0164</x:v>
      </x:c>
      <x:c r="L68" s="100" t="str">
        <x:v>卷164；圣祖系；第十四子行</x:v>
      </x:c>
      <x:c r="M68" s="100" t="str">
        <x:v>胤禎〈聖祖第十四子。</x:v>
      </x:c>
      <x:c r="N68" s="100" t="str">
        <x:v>支持</x:v>
      </x:c>
      <x:c r="O68" s="100" t="str">
        <x:v>明确记载</x:v>
      </x:c>
      <x:c r="P68" s="100" t="str">
        <x:v>中</x:v>
      </x:c>
      <x:c r="Q68" s="100" t="str">
        <x:v>QH-SF-QSG</x:v>
      </x:c>
      <x:c r="R68" s="100" t="str"/>
      <x:c r="S68" s="100" t="str">
        <x:v>结构化导入</x:v>
      </x:c>
      <x:c r="T68" s="100" t="str">
        <x:v>AI</x:v>
      </x:c>
      <x:c r="U68" s="100" t="str"/>
      <x:c r="V68" s="108" t="str"/>
      <x:c r="W68" s="100" t="str">
        <x:v>世表此行用胤禎。人物档规范名为胤禵，并记原名胤祯。三层名字并存。不能把此条写成传位十四子。</x:v>
      </x:c>
    </x:row>
    <x:row r="69" ht="34" customHeight="1">
      <x:c r="A69" s="100" t="str">
        <x:v>QH-A-KX-0065</x:v>
      </x:c>
      <x:c r="B69" s="100" t="str">
        <x:v>文字或数值陈述</x:v>
      </x:c>
      <x:c r="C69" s="100" t="str">
        <x:v>QH-P-000071</x:v>
      </x:c>
      <x:c r="D69" s="100" t="str">
        <x:v>listed_as_early_deceased</x:v>
      </x:c>
      <x:c r="E69" s="100" t="str">
        <x:v>圣祖子早薨未入序</x:v>
      </x:c>
      <x:c r="F69" s="100" t="str">
        <x:v>清史稿卷164圣祖系（表无生年）</x:v>
      </x:c>
      <x:c r="G69" s="108" t="str">
        <x:v>1661-02-07</x:v>
      </x:c>
      <x:c r="H69" s="108" t="str">
        <x:v>1722-12-20</x:v>
      </x:c>
      <x:c r="I69" s="100" t="str">
        <x:v>确定</x:v>
      </x:c>
      <x:c r="J69" s="100" t="str">
        <x:v>审核中</x:v>
      </x:c>
      <x:c r="K69" s="100" t="str">
        <x:v>QH-SU-QSG-0164</x:v>
      </x:c>
      <x:c r="L69" s="100" t="str">
        <x:v>卷164；圣祖系卷末早薨列</x:v>
      </x:c>
      <x:c r="M69" s="100" t="str">
        <x:v>承瑞〈聖祖子，早薨〉</x:v>
      </x:c>
      <x:c r="N69" s="100" t="str">
        <x:v>支持</x:v>
      </x:c>
      <x:c r="O69" s="100" t="str">
        <x:v>明确记载</x:v>
      </x:c>
      <x:c r="P69" s="100" t="str">
        <x:v>中</x:v>
      </x:c>
      <x:c r="Q69" s="100" t="str">
        <x:v>QH-SF-QSG</x:v>
      </x:c>
      <x:c r="R69" s="100" t="str">
        <x:v>QH-CF-KX-PRINCE-ORDER</x:v>
      </x:c>
      <x:c r="S69" s="100" t="str">
        <x:v>结构化导入</x:v>
      </x:c>
      <x:c r="T69" s="100" t="str">
        <x:v>AI</x:v>
      </x:c>
      <x:c r="U69" s="100" t="str"/>
      <x:c r="V69" s="108" t="str"/>
      <x:c r="W69" s="100" t="str">
        <x:v>世表不给第N子号。后妃传称其为圣祖长子。两说并存，不与胤禔合并。</x:v>
      </x:c>
    </x:row>
    <x:row r="70" ht="34" customHeight="1">
      <x:c r="A70" s="100" t="str">
        <x:v>QH-A-KX-0066</x:v>
      </x:c>
      <x:c r="B70" s="100" t="str">
        <x:v>文字或数值陈述</x:v>
      </x:c>
      <x:c r="C70" s="100" t="str">
        <x:v>QH-P-000071</x:v>
      </x:c>
      <x:c r="D70" s="100" t="str">
        <x:v>described_as_eldest_son</x:v>
      </x:c>
      <x:c r="E70" s="100" t="str">
        <x:v>圣祖长子</x:v>
      </x:c>
      <x:c r="F70" s="100" t="str">
        <x:v>清史稿卷214荣妃条（无生年）</x:v>
      </x:c>
      <x:c r="G70" s="108" t="str">
        <x:v>1661-02-07</x:v>
      </x:c>
      <x:c r="H70" s="108" t="str">
        <x:v>1722-12-20</x:v>
      </x:c>
      <x:c r="I70" s="100" t="str">
        <x:v>确定</x:v>
      </x:c>
      <x:c r="J70" s="100" t="str">
        <x:v>审核中</x:v>
      </x:c>
      <x:c r="K70" s="100" t="str">
        <x:v>QH-SU-QSG-0214</x:v>
      </x:c>
      <x:c r="L70" s="100" t="str">
        <x:v>卷214；荣妃马佳氏</x:v>
      </x:c>
      <x:c r="M70" s="100" t="str">
        <x:v>承瑞，為聖祖長子，四歲殤</x:v>
      </x:c>
      <x:c r="N70" s="100" t="str">
        <x:v>支持</x:v>
      </x:c>
      <x:c r="O70" s="100" t="str">
        <x:v>明确记载</x:v>
      </x:c>
      <x:c r="P70" s="100" t="str">
        <x:v>中</x:v>
      </x:c>
      <x:c r="Q70" s="100" t="str">
        <x:v>QH-SF-QSG</x:v>
      </x:c>
      <x:c r="R70" s="100" t="str">
        <x:v>QH-CF-KX-PRINCE-ORDER</x:v>
      </x:c>
      <x:c r="S70" s="100" t="str">
        <x:v>结构化导入</x:v>
      </x:c>
      <x:c r="T70" s="100" t="str">
        <x:v>AI</x:v>
      </x:c>
      <x:c r="U70" s="100" t="str"/>
      <x:c r="V70" s="108" t="str"/>
      <x:c r="W70" s="100" t="str">
        <x:v>后妃传自然序口径。世表第一子是胤禔。长子与第一子不是自动等同。四岁殇的具体年月日待玉牒。</x:v>
      </x:c>
    </x:row>
    <x:row r="71" ht="34" customHeight="1">
      <x:c r="A71" s="100" t="str">
        <x:v>QH-A-KX-0067</x:v>
      </x:c>
      <x:c r="B71" s="100" t="str">
        <x:v>文字或数值陈述</x:v>
      </x:c>
      <x:c r="C71" s="100" t="str">
        <x:v>QH-P-000072</x:v>
      </x:c>
      <x:c r="D71" s="100" t="str">
        <x:v>listed_as_early_deceased</x:v>
      </x:c>
      <x:c r="E71" s="100" t="str">
        <x:v>圣祖子早薨未入序</x:v>
      </x:c>
      <x:c r="F71" s="100" t="str">
        <x:v>清史稿卷164圣祖系（表无生年）</x:v>
      </x:c>
      <x:c r="G71" s="108" t="str">
        <x:v>1661-02-07</x:v>
      </x:c>
      <x:c r="H71" s="108" t="str">
        <x:v>1722-12-20</x:v>
      </x:c>
      <x:c r="I71" s="100" t="str">
        <x:v>确定</x:v>
      </x:c>
      <x:c r="J71" s="100" t="str">
        <x:v>审核中</x:v>
      </x:c>
      <x:c r="K71" s="100" t="str">
        <x:v>QH-SU-QSG-0164</x:v>
      </x:c>
      <x:c r="L71" s="100" t="str">
        <x:v>卷164；圣祖系卷末早薨列</x:v>
      </x:c>
      <x:c r="M71" s="100" t="str">
        <x:v>承祐〈聖祖子，早薨〉</x:v>
      </x:c>
      <x:c r="N71" s="100" t="str">
        <x:v>支持</x:v>
      </x:c>
      <x:c r="O71" s="100" t="str">
        <x:v>明确记载</x:v>
      </x:c>
      <x:c r="P71" s="100" t="str">
        <x:v>中</x:v>
      </x:c>
      <x:c r="Q71" s="100" t="str">
        <x:v>QH-SF-QSG</x:v>
      </x:c>
      <x:c r="R71" s="100" t="str"/>
      <x:c r="S71" s="100" t="str">
        <x:v>结构化导入</x:v>
      </x:c>
      <x:c r="T71" s="100" t="str">
        <x:v>AI</x:v>
      </x:c>
      <x:c r="U71" s="100" t="str"/>
      <x:c r="V71" s="108" t="str"/>
      <x:c r="W71" s="100" t="str">
        <x:v>后妃传孝诚子二：承祐四岁殇、允礽。十三年五月丙寅所生皇二子是允礽，不是承祐。</x:v>
      </x:c>
    </x:row>
    <x:row r="72" ht="34" customHeight="1">
      <x:c r="A72" s="100" t="str">
        <x:v>QH-A-KX-0068</x:v>
      </x:c>
      <x:c r="B72" s="100" t="str">
        <x:v>人物关系</x:v>
      </x:c>
      <x:c r="C72" s="100" t="str">
        <x:v>QH-P-000013</x:v>
      </x:c>
      <x:c r="D72" s="100" t="str">
        <x:v>adopted_out_to</x:v>
      </x:c>
      <x:c r="E72" s="100" t="str">
        <x:v>博果铎之后</x:v>
      </x:c>
      <x:c r="F72" s="100" t="str">
        <x:v>清史稿卷164圣祖系（表无生年）</x:v>
      </x:c>
      <x:c r="G72" s="108" t="str">
        <x:v>1661-02-07</x:v>
      </x:c>
      <x:c r="H72" s="108" t="str">
        <x:v>1722-12-20</x:v>
      </x:c>
      <x:c r="I72" s="100" t="str">
        <x:v>确定</x:v>
      </x:c>
      <x:c r="J72" s="100" t="str">
        <x:v>审核中</x:v>
      </x:c>
      <x:c r="K72" s="100" t="str">
        <x:v>QH-SU-QSG-0164</x:v>
      </x:c>
      <x:c r="L72" s="100" t="str">
        <x:v>卷164；圣祖系；胤禄行</x:v>
      </x:c>
      <x:c r="M72" s="100" t="str">
        <x:v>胤祿〈聖祖第十六子，嗣博果鐸後。</x:v>
      </x:c>
      <x:c r="N72" s="100" t="str">
        <x:v>支持</x:v>
      </x:c>
      <x:c r="O72" s="100" t="str">
        <x:v>明确记载</x:v>
      </x:c>
      <x:c r="P72" s="100" t="str">
        <x:v>中</x:v>
      </x:c>
      <x:c r="Q72" s="100" t="str">
        <x:v>QH-SF-QSG</x:v>
      </x:c>
      <x:c r="R72" s="100" t="str"/>
      <x:c r="S72" s="100" t="str">
        <x:v>结构化导入</x:v>
      </x:c>
      <x:c r="T72" s="100" t="str">
        <x:v>AI</x:v>
      </x:c>
      <x:c r="U72" s="100" t="str"/>
      <x:c r="V72" s="108" t="str"/>
      <x:c r="W72" s="100" t="str">
        <x:v>世表明记过继。生物父子仍是圣祖第十六子口径。两层关系必须分栏。博果铎尚未建档。</x:v>
      </x:c>
    </x:row>
    <x:row r="73" ht="34" customHeight="1">
      <x:c r="A73" s="100" t="str">
        <x:v>QH-A-KX-0069</x:v>
      </x:c>
      <x:c r="B73" s="100" t="str">
        <x:v>文字或数值陈述</x:v>
      </x:c>
      <x:c r="C73" s="100" t="str">
        <x:v>QH-P-000001</x:v>
      </x:c>
      <x:c r="D73" s="100" t="str">
        <x:v>father_of_in_table</x:v>
      </x:c>
      <x:c r="E73" s="100" t="str">
        <x:v>卷164圣祖系入序23人加早薨11人，缺第四子行</x:v>
      </x:c>
      <x:c r="F73" s="100" t="str">
        <x:v>清史稿卷164圣祖系（表无生年）</x:v>
      </x:c>
      <x:c r="G73" s="108" t="str">
        <x:v>1661-02-07</x:v>
      </x:c>
      <x:c r="H73" s="108" t="str">
        <x:v>1722-12-20</x:v>
      </x:c>
      <x:c r="I73" s="100" t="str">
        <x:v>约略</x:v>
      </x:c>
      <x:c r="J73" s="100" t="str">
        <x:v>审核中</x:v>
      </x:c>
      <x:c r="K73" s="100" t="str">
        <x:v>QH-SU-QSG-0164</x:v>
      </x:c>
      <x:c r="L73" s="100" t="str">
        <x:v>卷164；圣祖系全表</x:v>
      </x:c>
      <x:c r="M73" s="100" t="str">
        <x:v>聖祖第一子……聖祖第二十四子……承瑞〈聖祖子，早薨〉</x:v>
      </x:c>
      <x:c r="N73" s="100" t="str">
        <x:v>支持</x:v>
      </x:c>
      <x:c r="O73" s="100" t="str">
        <x:v>推定</x:v>
      </x:c>
      <x:c r="P73" s="100" t="str">
        <x:v>中</x:v>
      </x:c>
      <x:c r="Q73" s="100" t="str">
        <x:v>QH-SF-QSG</x:v>
      </x:c>
      <x:c r="R73" s="100" t="str">
        <x:v>QH-CF-KX-PRINCE-ORDER</x:v>
      </x:c>
      <x:c r="S73" s="100" t="str">
        <x:v>结构化导入</x:v>
      </x:c>
      <x:c r="T73" s="100" t="str">
        <x:v>AI</x:v>
      </x:c>
      <x:c r="U73" s="100" t="str"/>
      <x:c r="V73" s="108" t="str"/>
      <x:c r="W73" s="100" t="str">
        <x:v>本条是对已打开卷164的结构计数，不是玉牒35子结论。加上本卷缺号的第四子胤禛，才是通行35子口径。早夭与齿序随来源变化，不得压成一个排行。</x:v>
      </x:c>
    </x:row>
    <x:row r="74" ht="34" customHeight="1">
      <x:c r="A74" s="100" t="str">
        <x:v>QH-A-KX-0070</x:v>
      </x:c>
      <x:c r="B74" s="100" t="str">
        <x:v>事件发生</x:v>
      </x:c>
      <x:c r="C74" s="100" t="str">
        <x:v>QH-P-000004</x:v>
      </x:c>
      <x:c r="D74" s="100" t="str">
        <x:v>invested_as_heir</x:v>
      </x:c>
      <x:c r="E74" s="100" t="str">
        <x:v>皇太子</x:v>
      </x:c>
      <x:c r="F74" s="100" t="str">
        <x:v>康熙十四年十二月丙寅</x:v>
      </x:c>
      <x:c r="G74" s="108" t="str">
        <x:v>1676-01-27</x:v>
      </x:c>
      <x:c r="H74" s="108" t="str">
        <x:v>1676-01-27</x:v>
      </x:c>
      <x:c r="I74" s="100" t="str">
        <x:v>确定</x:v>
      </x:c>
      <x:c r="J74" s="100" t="str">
        <x:v>审核中</x:v>
      </x:c>
      <x:c r="K74" s="100" t="str">
        <x:v>QH-SU-QSG-0006</x:v>
      </x:c>
      <x:c r="L74" s="100" t="str">
        <x:v>卷6；康熙十四年十二月丙寅</x:v>
      </x:c>
      <x:c r="M74" s="100" t="str">
        <x:v>十二月丙寅，立皇子胤礽為皇太子，頒詔中外，加恩肆赦。</x:v>
      </x:c>
      <x:c r="N74" s="100" t="str">
        <x:v>支持</x:v>
      </x:c>
      <x:c r="O74" s="100" t="str">
        <x:v>明确记载</x:v>
      </x:c>
      <x:c r="P74" s="100" t="str">
        <x:v>中</x:v>
      </x:c>
      <x:c r="Q74" s="100" t="str">
        <x:v>QH-SF-QSG</x:v>
      </x:c>
      <x:c r="R74" s="100" t="str">
        <x:v>QH-CF-KX-INVEST-DAY</x:v>
      </x:c>
      <x:c r="S74" s="100" t="str">
        <x:v>结构化导入</x:v>
      </x:c>
      <x:c r="T74" s="100" t="str">
        <x:v>AI</x:v>
      </x:c>
      <x:c r="U74" s="100" t="str"/>
      <x:c r="V74" s="108" t="str"/>
      <x:c r="W74" s="100" t="str">
        <x:v>本纪六作十二月丙寅。列传卷220作十二月乙丑。两说并存，不择一。十二月已入公历1676年。换算依与四年九月辛卯、十三年五月丙寅同一历法对照，待独立历法库复核。不得把六月择吉下谕写成册立当日。</x:v>
      </x:c>
    </x:row>
    <x:row r="75" ht="34" customHeight="1">
      <x:c r="A75" s="100" t="str">
        <x:v>QH-A-KX-0071</x:v>
      </x:c>
      <x:c r="B75" s="100" t="str">
        <x:v>事件发生</x:v>
      </x:c>
      <x:c r="C75" s="100" t="str">
        <x:v>QH-P-000004</x:v>
      </x:c>
      <x:c r="D75" s="100" t="str">
        <x:v>invested_as_heir</x:v>
      </x:c>
      <x:c r="E75" s="100" t="str">
        <x:v>皇太子</x:v>
      </x:c>
      <x:c r="F75" s="100" t="str">
        <x:v>康熙十四年十二月乙丑</x:v>
      </x:c>
      <x:c r="G75" s="108" t="str">
        <x:v>1676-01-26</x:v>
      </x:c>
      <x:c r="H75" s="108" t="str">
        <x:v>1676-01-26</x:v>
      </x:c>
      <x:c r="I75" s="100" t="str">
        <x:v>确定</x:v>
      </x:c>
      <x:c r="J75" s="100" t="str">
        <x:v>审核中</x:v>
      </x:c>
      <x:c r="K75" s="100" t="str">
        <x:v>QH-SU-QSG-0220</x:v>
      </x:c>
      <x:c r="L75" s="100" t="str">
        <x:v>卷220；理密亲王允礽传</x:v>
      </x:c>
      <x:c r="M75" s="100" t="str">
        <x:v>康熙十四年十二月乙丑，聖祖以太皇太后、皇太后命立為皇太子。</x:v>
      </x:c>
      <x:c r="N75" s="100" t="str">
        <x:v>支持</x:v>
      </x:c>
      <x:c r="O75" s="100" t="str">
        <x:v>明确记载</x:v>
      </x:c>
      <x:c r="P75" s="100" t="str">
        <x:v>中</x:v>
      </x:c>
      <x:c r="Q75" s="100" t="str">
        <x:v>QH-SF-QSG</x:v>
      </x:c>
      <x:c r="R75" s="100" t="str">
        <x:v>QH-CF-KX-INVEST-DAY</x:v>
      </x:c>
      <x:c r="S75" s="100" t="str">
        <x:v>结构化导入</x:v>
      </x:c>
      <x:c r="T75" s="100" t="str">
        <x:v>AI</x:v>
      </x:c>
      <x:c r="U75" s="100" t="str"/>
      <x:c r="V75" s="108" t="str"/>
      <x:c r="W75" s="100" t="str">
        <x:v>列传作乙丑，并记以太皇太后、皇太后命。本纪六作丙寅。冲突组保留。太皇太后命是否另有实录六月谕，本条未打开，不补写。</x:v>
      </x:c>
    </x:row>
    <x:row r="76" ht="34" customHeight="1">
      <x:c r="A76" s="100" t="str">
        <x:v>QH-A-KX-0072</x:v>
      </x:c>
      <x:c r="B76" s="100" t="str">
        <x:v>事件发生</x:v>
      </x:c>
      <x:c r="C76" s="100" t="str">
        <x:v>QH-P-000004</x:v>
      </x:c>
      <x:c r="D76" s="100" t="str">
        <x:v>arrested_as_heir</x:v>
      </x:c>
      <x:c r="E76" s="100" t="str">
        <x:v>宣示罪状拘执送京幽禁</x:v>
      </x:c>
      <x:c r="F76" s="100" t="str">
        <x:v>康熙四十七年九月丁丑</x:v>
      </x:c>
      <x:c r="G76" s="108" t="str">
        <x:v>1708-10-17</x:v>
      </x:c>
      <x:c r="H76" s="108" t="str">
        <x:v>1708-10-17</x:v>
      </x:c>
      <x:c r="I76" s="100" t="str">
        <x:v>确定</x:v>
      </x:c>
      <x:c r="J76" s="100" t="str">
        <x:v>审核中</x:v>
      </x:c>
      <x:c r="K76" s="100" t="str">
        <x:v>QH-SU-QSG-0008</x:v>
      </x:c>
      <x:c r="L76" s="100" t="str">
        <x:v>卷8；康熙四十七年九月丁丑</x:v>
      </x:c>
      <x:c r="M76" s="100" t="str">
        <x:v>丁丑，召集廷臣行宮，宣示皇太子胤礽罪狀，命拘執之，送京幽禁。</x:v>
      </x:c>
      <x:c r="N76" s="100" t="str">
        <x:v>支持</x:v>
      </x:c>
      <x:c r="O76" s="100" t="str">
        <x:v>明确记载</x:v>
      </x:c>
      <x:c r="P76" s="100" t="str">
        <x:v>中</x:v>
      </x:c>
      <x:c r="Q76" s="100" t="str">
        <x:v>QH-SF-QSG</x:v>
      </x:c>
      <x:c r="R76" s="100" t="str"/>
      <x:c r="S76" s="100" t="str">
        <x:v>结构化导入</x:v>
      </x:c>
      <x:c r="T76" s="100" t="str">
        <x:v>AI</x:v>
      </x:c>
      <x:c r="U76" s="100" t="str"/>
      <x:c r="V76" s="108" t="str"/>
      <x:c r="W76" s="100" t="str">
        <x:v>前一日乙亥驻布尔哈苏台。拘执与丁酉颁废不是同一天。本纪未逐条罗列罪状原文，不得从影视或百科补写。列传另有即日执允礽、命允禔监之，不并入本条。</x:v>
      </x:c>
    </x:row>
    <x:row r="77" ht="34" customHeight="1">
      <x:c r="A77" s="100" t="str">
        <x:v>QH-A-KX-0073</x:v>
      </x:c>
      <x:c r="B77" s="100" t="str">
        <x:v>事件发生</x:v>
      </x:c>
      <x:c r="C77" s="100" t="str">
        <x:v>QH-P-000004</x:v>
      </x:c>
      <x:c r="D77" s="100" t="str">
        <x:v>deposed_as_heir</x:v>
      </x:c>
      <x:c r="E77" s="100" t="str">
        <x:v>废皇太子颁示天下</x:v>
      </x:c>
      <x:c r="F77" s="100" t="str">
        <x:v>康熙四十七年九月丁酉</x:v>
      </x:c>
      <x:c r="G77" s="108" t="str">
        <x:v>1708-11-06</x:v>
      </x:c>
      <x:c r="H77" s="108" t="str">
        <x:v>1708-11-06</x:v>
      </x:c>
      <x:c r="I77" s="100" t="str">
        <x:v>确定</x:v>
      </x:c>
      <x:c r="J77" s="100" t="str">
        <x:v>审核中</x:v>
      </x:c>
      <x:c r="K77" s="100" t="str">
        <x:v>QH-SU-QSG-0008</x:v>
      </x:c>
      <x:c r="L77" s="100" t="str">
        <x:v>卷8；康熙四十七年九月丁酉</x:v>
      </x:c>
      <x:c r="M77" s="100" t="str">
        <x:v>丁酉，廢皇太子胤礽，頒示天下。</x:v>
      </x:c>
      <x:c r="N77" s="100" t="str">
        <x:v>支持</x:v>
      </x:c>
      <x:c r="O77" s="100" t="str">
        <x:v>明确记载</x:v>
      </x:c>
      <x:c r="P77" s="100" t="str">
        <x:v>中</x:v>
      </x:c>
      <x:c r="Q77" s="100" t="str">
        <x:v>QH-SF-QSG</x:v>
      </x:c>
      <x:c r="R77" s="100" t="str">
        <x:v>QH-CF-KX-DEPOSE-YEAR</x:v>
      </x:c>
      <x:c r="S77" s="100" t="str">
        <x:v>结构化导入</x:v>
      </x:c>
      <x:c r="T77" s="100" t="str">
        <x:v>AI</x:v>
      </x:c>
      <x:c r="U77" s="100" t="str"/>
      <x:c r="V77" s="108" t="str"/>
      <x:c r="W77" s="100" t="str">
        <x:v>本纪明记四十七年九月丁酉颁废。世表作四十六年废。两说并存。己丑还京在丁丑之后、丁酉之前，不把还京写成废太子日。</x:v>
      </x:c>
    </x:row>
    <x:row r="78" ht="34" customHeight="1">
      <x:c r="A78" s="100" t="str">
        <x:v>QH-A-KX-0074</x:v>
      </x:c>
      <x:c r="B78" s="100" t="str">
        <x:v>文字或数值陈述</x:v>
      </x:c>
      <x:c r="C78" s="100" t="str">
        <x:v>QH-P-000004</x:v>
      </x:c>
      <x:c r="D78" s="100" t="str">
        <x:v>deposed_as_heir</x:v>
      </x:c>
      <x:c r="E78" s="100" t="str">
        <x:v>废皇太子</x:v>
      </x:c>
      <x:c r="F78" s="100" t="str">
        <x:v>康熙四十六年</x:v>
      </x:c>
      <x:c r="G78" s="108" t="str">
        <x:v>1707-02-03</x:v>
      </x:c>
      <x:c r="H78" s="108" t="str">
        <x:v>1708-01-22</x:v>
      </x:c>
      <x:c r="I78" s="100" t="str">
        <x:v>确定</x:v>
      </x:c>
      <x:c r="J78" s="100" t="str">
        <x:v>审核中</x:v>
      </x:c>
      <x:c r="K78" s="100" t="str">
        <x:v>QH-SU-QSG-0164</x:v>
      </x:c>
      <x:c r="L78" s="100" t="str">
        <x:v>卷164；圣祖系；第二子行</x:v>
      </x:c>
      <x:c r="M78" s="100" t="str">
        <x:v>康熙十四年立爲皇太子，四十六年廢，四十八年復立，五十一年復廢。</x:v>
      </x:c>
      <x:c r="N78" s="100" t="str">
        <x:v>支持</x:v>
      </x:c>
      <x:c r="O78" s="100" t="str">
        <x:v>明确记载</x:v>
      </x:c>
      <x:c r="P78" s="100" t="str">
        <x:v>中</x:v>
      </x:c>
      <x:c r="Q78" s="100" t="str">
        <x:v>QH-SF-QSG</x:v>
      </x:c>
      <x:c r="R78" s="100" t="str">
        <x:v>QH-CF-KX-DEPOSE-YEAR</x:v>
      </x:c>
      <x:c r="S78" s="100" t="str">
        <x:v>结构化导入</x:v>
      </x:c>
      <x:c r="T78" s="100" t="str">
        <x:v>AI</x:v>
      </x:c>
      <x:c r="U78" s="100" t="str"/>
      <x:c r="V78" s="108" t="str"/>
      <x:c r="W78" s="100" t="str">
        <x:v>世表年无干支日。本纪八作四十七年九月废。公历为康熙四十六年整年起止。不得为了整齐改成四十七年。</x:v>
      </x:c>
    </x:row>
    <x:row r="79" ht="34" customHeight="1">
      <x:c r="A79" s="100" t="str">
        <x:v>QH-A-KX-0075</x:v>
      </x:c>
      <x:c r="B79" s="100" t="str">
        <x:v>事件发生</x:v>
      </x:c>
      <x:c r="C79" s="100" t="str">
        <x:v>QH-P-000007</x:v>
      </x:c>
      <x:c r="D79" s="100" t="str">
        <x:v>stripped_of_title</x:v>
      </x:c>
      <x:c r="E79" s="100" t="str">
        <x:v>贝勒</x:v>
      </x:c>
      <x:c r="F79" s="100" t="str">
        <x:v>康熙四十七年十月甲辰</x:v>
      </x:c>
      <x:c r="G79" s="108" t="str">
        <x:v>1708-11-13</x:v>
      </x:c>
      <x:c r="H79" s="108" t="str">
        <x:v>1708-11-13</x:v>
      </x:c>
      <x:c r="I79" s="100" t="str">
        <x:v>确定</x:v>
      </x:c>
      <x:c r="J79" s="100" t="str">
        <x:v>审核中</x:v>
      </x:c>
      <x:c r="K79" s="100" t="str">
        <x:v>QH-SU-QSG-0008</x:v>
      </x:c>
      <x:c r="L79" s="100" t="str">
        <x:v>卷8；康熙四十七年十月甲辰</x:v>
      </x:c>
      <x:c r="M79" s="100" t="str">
        <x:v>冬十月甲辰，削貝勒胤禩爵。</x:v>
      </x:c>
      <x:c r="N79" s="100" t="str">
        <x:v>支持</x:v>
      </x:c>
      <x:c r="O79" s="100" t="str">
        <x:v>明确记载</x:v>
      </x:c>
      <x:c r="P79" s="100" t="str">
        <x:v>中</x:v>
      </x:c>
      <x:c r="Q79" s="100" t="str">
        <x:v>QH-SF-QSG</x:v>
      </x:c>
      <x:c r="R79" s="100" t="str"/>
      <x:c r="S79" s="100" t="str">
        <x:v>结构化导入</x:v>
      </x:c>
      <x:c r="T79" s="100" t="str">
        <x:v>AI</x:v>
      </x:c>
      <x:c r="U79" s="100" t="str"/>
      <x:c r="V79" s="108" t="str"/>
      <x:c r="W79" s="100" t="str">
        <x:v>本纪只记削爵。不得据此写成八爷党夺嫡或已定罪名。同月庚子复贝勒是十一月事，见另条时间轴，不并入本日。</x:v>
      </x:c>
    </x:row>
    <x:row r="80" ht="34" customHeight="1">
      <x:c r="A80" s="100" t="str">
        <x:v>QH-A-KX-0076</x:v>
      </x:c>
      <x:c r="B80" s="100" t="str">
        <x:v>事件发生</x:v>
      </x:c>
      <x:c r="C80" s="100" t="str">
        <x:v>QH-P-000003</x:v>
      </x:c>
      <x:c r="D80" s="100" t="str">
        <x:v>stripped_of_title</x:v>
      </x:c>
      <x:c r="E80" s="100" t="str">
        <x:v>直郡王；幽之</x:v>
      </x:c>
      <x:c r="F80" s="100" t="str">
        <x:v>康熙四十七年十一月癸酉朔</x:v>
      </x:c>
      <x:c r="G80" s="108" t="str">
        <x:v>1708-12-12</x:v>
      </x:c>
      <x:c r="H80" s="108" t="str">
        <x:v>1708-12-12</x:v>
      </x:c>
      <x:c r="I80" s="100" t="str">
        <x:v>确定</x:v>
      </x:c>
      <x:c r="J80" s="100" t="str">
        <x:v>审核中</x:v>
      </x:c>
      <x:c r="K80" s="100" t="str">
        <x:v>QH-SU-QSG-0008</x:v>
      </x:c>
      <x:c r="L80" s="100" t="str">
        <x:v>卷8；康熙四十七年十一月癸酉朔</x:v>
      </x:c>
      <x:c r="M80" s="100" t="str">
        <x:v>十一月癸酉朔，削直郡王胤禔爵，幽之。</x:v>
      </x:c>
      <x:c r="N80" s="100" t="str">
        <x:v>支持</x:v>
      </x:c>
      <x:c r="O80" s="100" t="str">
        <x:v>明确记载</x:v>
      </x:c>
      <x:c r="P80" s="100" t="str">
        <x:v>中</x:v>
      </x:c>
      <x:c r="Q80" s="100" t="str">
        <x:v>QH-SF-QSG</x:v>
      </x:c>
      <x:c r="R80" s="100" t="str"/>
      <x:c r="S80" s="100" t="str">
        <x:v>结构化导入</x:v>
      </x:c>
      <x:c r="T80" s="100" t="str">
        <x:v>AI</x:v>
      </x:c>
      <x:c r="U80" s="100" t="str"/>
      <x:c r="V80" s="108" t="str"/>
      <x:c r="W80" s="100" t="str">
        <x:v>本纪同日削爵并幽之。镇魇细节见列传，不并入本条写成已核动机。</x:v>
      </x:c>
    </x:row>
    <x:row r="81" ht="34" customHeight="1">
      <x:c r="A81" s="100" t="str">
        <x:v>QH-A-KX-0077</x:v>
      </x:c>
      <x:c r="B81" s="100" t="str">
        <x:v>事件发生</x:v>
      </x:c>
      <x:c r="C81" s="100" t="str">
        <x:v>QH-P-000004</x:v>
      </x:c>
      <x:c r="D81" s="100" t="str">
        <x:v>petitioned_reinstatement</x:v>
      </x:c>
      <x:c r="E81" s="100" t="str">
        <x:v>劳之辨奏保废太子被夺职杖之</x:v>
      </x:c>
      <x:c r="F81" s="100" t="str">
        <x:v>康熙四十七年十一月辛巳</x:v>
      </x:c>
      <x:c r="G81" s="108" t="str">
        <x:v>1708-12-20</x:v>
      </x:c>
      <x:c r="H81" s="108" t="str">
        <x:v>1708-12-20</x:v>
      </x:c>
      <x:c r="I81" s="100" t="str">
        <x:v>确定</x:v>
      </x:c>
      <x:c r="J81" s="100" t="str">
        <x:v>审核中</x:v>
      </x:c>
      <x:c r="K81" s="100" t="str">
        <x:v>QH-SU-QSG-0008</x:v>
      </x:c>
      <x:c r="L81" s="100" t="str">
        <x:v>卷8；康熙四十七年十一月辛巳</x:v>
      </x:c>
      <x:c r="M81" s="100" t="str">
        <x:v>辛巳，副都御史勞之辨奏保廢太子，奪職杖之。</x:v>
      </x:c>
      <x:c r="N81" s="100" t="str">
        <x:v>支持</x:v>
      </x:c>
      <x:c r="O81" s="100" t="str">
        <x:v>明确记载</x:v>
      </x:c>
      <x:c r="P81" s="100" t="str">
        <x:v>中</x:v>
      </x:c>
      <x:c r="Q81" s="100" t="str">
        <x:v>QH-SF-QSG</x:v>
      </x:c>
      <x:c r="R81" s="100" t="str"/>
      <x:c r="S81" s="100" t="str">
        <x:v>结构化导入</x:v>
      </x:c>
      <x:c r="T81" s="100" t="str">
        <x:v>AI</x:v>
      </x:c>
      <x:c r="U81" s="100" t="str"/>
      <x:c r="V81" s="108" t="str"/>
      <x:c r="W81" s="100" t="str">
        <x:v>劳之辨尚未建人物档。本条只证明本纪有奏保被杖，不是第四次废立。</x:v>
      </x:c>
    </x:row>
    <x:row r="82" ht="34" customHeight="1">
      <x:c r="A82" s="100" t="str">
        <x:v>QH-A-KX-0078</x:v>
      </x:c>
      <x:c r="B82" s="100" t="str">
        <x:v>事件发生</x:v>
      </x:c>
      <x:c r="C82" s="100" t="str">
        <x:v>QH-P-000007</x:v>
      </x:c>
      <x:c r="D82" s="100" t="str">
        <x:v>proposed_as_heir</x:v>
      </x:c>
      <x:c r="E82" s="100" t="str">
        <x:v>皇太子；上不可</x:v>
      </x:c>
      <x:c r="F82" s="100" t="str">
        <x:v>康熙四十七年十一月丙戌</x:v>
      </x:c>
      <x:c r="G82" s="108" t="str">
        <x:v>1708-12-25</x:v>
      </x:c>
      <x:c r="H82" s="108" t="str">
        <x:v>1708-12-25</x:v>
      </x:c>
      <x:c r="I82" s="100" t="str">
        <x:v>确定</x:v>
      </x:c>
      <x:c r="J82" s="100" t="str">
        <x:v>审核中</x:v>
      </x:c>
      <x:c r="K82" s="100" t="str">
        <x:v>QH-SU-QSG-0008</x:v>
      </x:c>
      <x:c r="L82" s="100" t="str">
        <x:v>卷8；康熙四十七年十一月丙戌</x:v>
      </x:c>
      <x:c r="M82" s="100" t="str">
        <x:v>丙戌，召集廷臣議建儲貳。阿靈阿、鄂倫岱、揆敘、王鴻緒及諸大臣以皇八子胤禩請，上不可。</x:v>
      </x:c>
      <x:c r="N82" s="100" t="str">
        <x:v>支持</x:v>
      </x:c>
      <x:c r="O82" s="100" t="str">
        <x:v>明确记载</x:v>
      </x:c>
      <x:c r="P82" s="100" t="str">
        <x:v>中</x:v>
      </x:c>
      <x:c r="Q82" s="100" t="str">
        <x:v>QH-SF-QSG</x:v>
      </x:c>
      <x:c r="R82" s="100" t="str"/>
      <x:c r="S82" s="100" t="str">
        <x:v>结构化导入</x:v>
      </x:c>
      <x:c r="T82" s="100" t="str">
        <x:v>AI</x:v>
      </x:c>
      <x:c r="U82" s="100" t="str"/>
      <x:c r="V82" s="108" t="str"/>
      <x:c r="W82" s="100" t="str">
        <x:v>本纪记请立与上不可。不得合成八爷党夺嫡。阿灵阿等尚未逐人建档。庚子复胤禩贝勒是另日。</x:v>
      </x:c>
    </x:row>
    <x:row r="83" ht="34" customHeight="1">
      <x:c r="A83" s="100" t="str">
        <x:v>QH-A-KX-0079</x:v>
      </x:c>
      <x:c r="B83" s="100" t="str">
        <x:v>事件发生</x:v>
      </x:c>
      <x:c r="C83" s="100" t="str">
        <x:v>QH-P-000004</x:v>
      </x:c>
      <x:c r="D83" s="100" t="str">
        <x:v>released_from_confinement</x:v>
      </x:c>
      <x:c r="E83" s="100" t="str">
        <x:v>释废太子</x:v>
      </x:c>
      <x:c r="F83" s="100" t="str">
        <x:v>康熙四十七年十一月戊子</x:v>
      </x:c>
      <x:c r="G83" s="108" t="str">
        <x:v>1708-12-27</x:v>
      </x:c>
      <x:c r="H83" s="108" t="str">
        <x:v>1708-12-27</x:v>
      </x:c>
      <x:c r="I83" s="100" t="str">
        <x:v>确定</x:v>
      </x:c>
      <x:c r="J83" s="100" t="str">
        <x:v>审核中</x:v>
      </x:c>
      <x:c r="K83" s="100" t="str">
        <x:v>QH-SU-QSG-0008</x:v>
      </x:c>
      <x:c r="L83" s="100" t="str">
        <x:v>卷8；康熙四十七年十一月戊子</x:v>
      </x:c>
      <x:c r="M83" s="100" t="str">
        <x:v>戊子，釋廢太子胤礽。</x:v>
      </x:c>
      <x:c r="N83" s="100" t="str">
        <x:v>支持</x:v>
      </x:c>
      <x:c r="O83" s="100" t="str">
        <x:v>明确记载</x:v>
      </x:c>
      <x:c r="P83" s="100" t="str">
        <x:v>中</x:v>
      </x:c>
      <x:c r="Q83" s="100" t="str">
        <x:v>QH-SF-QSG</x:v>
      </x:c>
      <x:c r="R83" s="100" t="str"/>
      <x:c r="S83" s="100" t="str">
        <x:v>结构化导入</x:v>
      </x:c>
      <x:c r="T83" s="100" t="str">
        <x:v>AI</x:v>
      </x:c>
      <x:c r="U83" s="100" t="str"/>
      <x:c r="V83" s="108" t="str"/>
      <x:c r="W83" s="100" t="str">
        <x:v>释放不是复立。次日己丑王大臣请复立，本纪未记当日允准。复立在四十八年三月辛巳。</x:v>
      </x:c>
    </x:row>
    <x:row r="84" ht="34" customHeight="1">
      <x:c r="A84" s="100" t="str">
        <x:v>QH-A-KX-0080</x:v>
      </x:c>
      <x:c r="B84" s="100" t="str">
        <x:v>事件发生</x:v>
      </x:c>
      <x:c r="C84" s="100" t="str">
        <x:v>QH-P-000004</x:v>
      </x:c>
      <x:c r="D84" s="100" t="str">
        <x:v>reinstated_as_heir</x:v>
      </x:c>
      <x:c r="E84" s="100" t="str">
        <x:v>皇太子</x:v>
      </x:c>
      <x:c r="F84" s="100" t="str">
        <x:v>康熙四十八年三月辛巳</x:v>
      </x:c>
      <x:c r="G84" s="108" t="str">
        <x:v>1709-04-19</x:v>
      </x:c>
      <x:c r="H84" s="108" t="str">
        <x:v>1709-04-19</x:v>
      </x:c>
      <x:c r="I84" s="100" t="str">
        <x:v>确定</x:v>
      </x:c>
      <x:c r="J84" s="100" t="str">
        <x:v>审核中</x:v>
      </x:c>
      <x:c r="K84" s="100" t="str">
        <x:v>QH-SU-QSG-0008</x:v>
      </x:c>
      <x:c r="L84" s="100" t="str">
        <x:v>卷8；康熙四十八年三月辛巳</x:v>
      </x:c>
      <x:c r="M84" s="100" t="str">
        <x:v>三月辛巳，復立胤礽為皇太子，昭告宗廟，頒詔天下。</x:v>
      </x:c>
      <x:c r="N84" s="100" t="str">
        <x:v>支持</x:v>
      </x:c>
      <x:c r="O84" s="100" t="str">
        <x:v>明确记载</x:v>
      </x:c>
      <x:c r="P84" s="100" t="str">
        <x:v>中</x:v>
      </x:c>
      <x:c r="Q84" s="100" t="str">
        <x:v>QH-SF-QSG</x:v>
      </x:c>
      <x:c r="R84" s="100" t="str"/>
      <x:c r="S84" s="100" t="str">
        <x:v>结构化导入</x:v>
      </x:c>
      <x:c r="T84" s="100" t="str">
        <x:v>AI</x:v>
      </x:c>
      <x:c r="U84" s="100" t="str"/>
      <x:c r="V84" s="108" t="str"/>
      <x:c r="W84" s="100" t="str">
        <x:v>本纪与列传均作三月辛巳。十月戊午册封诸王贝勒是另事，不得写成九子夺嫡开始。</x:v>
      </x:c>
    </x:row>
    <x:row r="85" ht="34" customHeight="1">
      <x:c r="A85" s="100" t="str">
        <x:v>QH-A-KX-0081</x:v>
      </x:c>
      <x:c r="B85" s="100" t="str">
        <x:v>事件发生</x:v>
      </x:c>
      <x:c r="C85" s="100" t="str">
        <x:v>QH-P-000004</x:v>
      </x:c>
      <x:c r="D85" s="100" t="str">
        <x:v>deposed_as_heir</x:v>
      </x:c>
      <x:c r="E85" s="100" t="str">
        <x:v>复以罪废锢于咸安宫</x:v>
      </x:c>
      <x:c r="F85" s="100" t="str">
        <x:v>康熙五十一年九月庚戌</x:v>
      </x:c>
      <x:c r="G85" s="108" t="str">
        <x:v>1712-10-29</x:v>
      </x:c>
      <x:c r="H85" s="108" t="str">
        <x:v>1712-10-29</x:v>
      </x:c>
      <x:c r="I85" s="100" t="str">
        <x:v>确定</x:v>
      </x:c>
      <x:c r="J85" s="100" t="str">
        <x:v>审核中</x:v>
      </x:c>
      <x:c r="K85" s="100" t="str">
        <x:v>QH-SU-QSG-0008</x:v>
      </x:c>
      <x:c r="L85" s="100" t="str">
        <x:v>卷8；康熙五十一年九月庚戌</x:v>
      </x:c>
      <x:c r="M85" s="100" t="str">
        <x:v>九月庚戌，上奉皇太后還宮。皇太子胤礽復以罪廢，錮於咸安宮。</x:v>
      </x:c>
      <x:c r="N85" s="100" t="str">
        <x:v>支持</x:v>
      </x:c>
      <x:c r="O85" s="100" t="str">
        <x:v>明确记载</x:v>
      </x:c>
      <x:c r="P85" s="100" t="str">
        <x:v>中</x:v>
      </x:c>
      <x:c r="Q85" s="100" t="str">
        <x:v>QH-SF-QSG</x:v>
      </x:c>
      <x:c r="R85" s="100" t="str">
        <x:v>QH-CF-KX-DEPOSE2-MONTH</x:v>
      </x:c>
      <x:c r="S85" s="100" t="str">
        <x:v>结构化导入</x:v>
      </x:c>
      <x:c r="T85" s="100" t="str">
        <x:v>AI</x:v>
      </x:c>
      <x:c r="U85" s="100" t="str"/>
      <x:c r="V85" s="108" t="str"/>
      <x:c r="W85" s="100" t="str">
        <x:v>本纪作九月庚戌废并锢咸安宫。列传作五十一年十月复废。告庙在十一月丁未，不并入本日。罪名本条只写复以罪废，不补狂疾诊断。</x:v>
      </x:c>
    </x:row>
    <x:row r="86" ht="34" customHeight="1">
      <x:c r="A86" s="100" t="str">
        <x:v>QH-A-KX-0082</x:v>
      </x:c>
      <x:c r="B86" s="100" t="str">
        <x:v>事件发生</x:v>
      </x:c>
      <x:c r="C86" s="100" t="str">
        <x:v>QH-P-000004</x:v>
      </x:c>
      <x:c r="D86" s="100" t="str">
        <x:v>deposed_as_heir</x:v>
      </x:c>
      <x:c r="E86" s="100" t="str">
        <x:v>复废太子禁锢咸安宫</x:v>
      </x:c>
      <x:c r="F86" s="100" t="str">
        <x:v>康熙五十一年十月</x:v>
      </x:c>
      <x:c r="G86" s="108" t="str">
        <x:v>1712-10-30</x:v>
      </x:c>
      <x:c r="H86" s="108" t="str">
        <x:v>1712-11-27</x:v>
      </x:c>
      <x:c r="I86" s="100" t="str">
        <x:v>确定</x:v>
      </x:c>
      <x:c r="J86" s="100" t="str">
        <x:v>审核中</x:v>
      </x:c>
      <x:c r="K86" s="100" t="str">
        <x:v>QH-SU-QSG-0220</x:v>
      </x:c>
      <x:c r="L86" s="100" t="str">
        <x:v>卷220；理密亲王允礽传</x:v>
      </x:c>
      <x:c r="M86" s="100" t="str">
        <x:v>五十一年十月，复廢太子，禁錮咸安宮。</x:v>
      </x:c>
      <x:c r="N86" s="100" t="str">
        <x:v>支持</x:v>
      </x:c>
      <x:c r="O86" s="100" t="str">
        <x:v>明确记载</x:v>
      </x:c>
      <x:c r="P86" s="100" t="str">
        <x:v>中</x:v>
      </x:c>
      <x:c r="Q86" s="100" t="str">
        <x:v>QH-SF-QSG</x:v>
      </x:c>
      <x:c r="R86" s="100" t="str">
        <x:v>QH-CF-KX-DEPOSE2-MONTH</x:v>
      </x:c>
      <x:c r="S86" s="100" t="str">
        <x:v>结构化导入</x:v>
      </x:c>
      <x:c r="T86" s="100" t="str">
        <x:v>AI</x:v>
      </x:c>
      <x:c r="U86" s="100" t="str"/>
      <x:c r="V86" s="108" t="str"/>
      <x:c r="W86" s="100" t="str">
        <x:v>列传只到月。本纪作九月庚戌。公历为康熙五十一年十月整月。两说并存，不择一。</x:v>
      </x:c>
    </x:row>
    <x:row r="87" ht="34" customHeight="1">
      <x:c r="A87" s="100" t="str">
        <x:v>QH-A-KX-0083</x:v>
      </x:c>
      <x:c r="B87" s="100" t="str">
        <x:v>事件发生</x:v>
      </x:c>
      <x:c r="C87" s="100" t="str">
        <x:v>QH-P-000004</x:v>
      </x:c>
      <x:c r="D87" s="100" t="str">
        <x:v>announced_deposition_at_temple</x:v>
      </x:c>
      <x:c r="E87" s="100" t="str">
        <x:v>复废皇太子告庙宣示天下</x:v>
      </x:c>
      <x:c r="F87" s="100" t="str">
        <x:v>康熙五十一年十一月丁未</x:v>
      </x:c>
      <x:c r="G87" s="108" t="str">
        <x:v>1712-12-25</x:v>
      </x:c>
      <x:c r="H87" s="108" t="str">
        <x:v>1712-12-25</x:v>
      </x:c>
      <x:c r="I87" s="100" t="str">
        <x:v>确定</x:v>
      </x:c>
      <x:c r="J87" s="100" t="str">
        <x:v>审核中</x:v>
      </x:c>
      <x:c r="K87" s="100" t="str">
        <x:v>QH-SU-QSG-0008</x:v>
      </x:c>
      <x:c r="L87" s="100" t="str">
        <x:v>卷8；康熙五十一年十一月丁未</x:v>
      </x:c>
      <x:c r="M87" s="100" t="str">
        <x:v>丁未，以復廢皇太子胤礽告廟，宣示天下。</x:v>
      </x:c>
      <x:c r="N87" s="100" t="str">
        <x:v>支持</x:v>
      </x:c>
      <x:c r="O87" s="100" t="str">
        <x:v>明确记载</x:v>
      </x:c>
      <x:c r="P87" s="100" t="str">
        <x:v>中</x:v>
      </x:c>
      <x:c r="Q87" s="100" t="str">
        <x:v>QH-SF-QSG</x:v>
      </x:c>
      <x:c r="R87" s="100" t="str"/>
      <x:c r="S87" s="100" t="str">
        <x:v>结构化导入</x:v>
      </x:c>
      <x:c r="T87" s="100" t="str">
        <x:v>AI</x:v>
      </x:c>
      <x:c r="U87" s="100" t="str"/>
      <x:c r="V87" s="108" t="str"/>
      <x:c r="W87" s="100" t="str">
        <x:v>告庙宣示与九月庚戌废锢不是同一天。不得把告庙日写成再废当日。</x:v>
      </x:c>
    </x:row>
    <x:row r="88" ht="34" customHeight="1">
      <x:c r="A88" s="100" t="str">
        <x:v>QH-A-KX-0084</x:v>
      </x:c>
      <x:c r="B88" s="100" t="str">
        <x:v>事件发生</x:v>
      </x:c>
      <x:c r="C88" s="100" t="str">
        <x:v>QH-P-000004</x:v>
      </x:c>
      <x:c r="D88" s="100" t="str">
        <x:v>petitioned_reinstatement</x:v>
      </x:c>
      <x:c r="E88" s="100" t="str">
        <x:v>朱天保请复立被诛</x:v>
      </x:c>
      <x:c r="F88" s="100" t="str">
        <x:v>康熙五十七年二月癸卯</x:v>
      </x:c>
      <x:c r="G88" s="108" t="str">
        <x:v>1718-03-25</x:v>
      </x:c>
      <x:c r="H88" s="108" t="str">
        <x:v>1718-03-25</x:v>
      </x:c>
      <x:c r="I88" s="100" t="str">
        <x:v>确定</x:v>
      </x:c>
      <x:c r="J88" s="100" t="str">
        <x:v>审核中</x:v>
      </x:c>
      <x:c r="K88" s="100" t="str">
        <x:v>QH-SU-QSG-0008</x:v>
      </x:c>
      <x:c r="L88" s="100" t="str">
        <x:v>卷8；康熙五十七年二月癸卯</x:v>
      </x:c>
      <x:c r="M88" s="100" t="str">
        <x:v>檢討朱天保上疏請復立胤礽為皇太子，上於行宮親訊之曰：「爾何知而違旨上奏？」朱天保曰：「臣聞之臣父，臣父令臣言之。」上曰：「此不忠不孝之人也。」命誅之。</x:v>
      </x:c>
      <x:c r="N88" s="100" t="str">
        <x:v>支持</x:v>
      </x:c>
      <x:c r="O88" s="100" t="str">
        <x:v>明确记载</x:v>
      </x:c>
      <x:c r="P88" s="100" t="str">
        <x:v>中</x:v>
      </x:c>
      <x:c r="Q88" s="100" t="str">
        <x:v>QH-SF-QSG</x:v>
      </x:c>
      <x:c r="R88" s="100" t="str"/>
      <x:c r="S88" s="100" t="str">
        <x:v>结构化导入</x:v>
      </x:c>
      <x:c r="T88" s="100" t="str">
        <x:v>AI</x:v>
      </x:c>
      <x:c r="U88" s="100" t="str"/>
      <x:c r="V88" s="108" t="str"/>
      <x:c r="W88" s="100" t="str">
        <x:v>附属事件，不是第四次废立。朱天保尚未建人物档。列传另有戴保等连坐，不并入本纪此条。</x:v>
      </x:c>
    </x:row>
    <x:row r="89" ht="34" customHeight="1">
      <x:c r="A89" s="100" t="str">
        <x:v>QH-A-KX-0085</x:v>
      </x:c>
      <x:c r="B89" s="100" t="str">
        <x:v>事件发生</x:v>
      </x:c>
      <x:c r="C89" s="100" t="str">
        <x:v>QH-P-000001</x:v>
      </x:c>
      <x:c r="D89" s="100" t="str">
        <x:v>stationed_at</x:v>
      </x:c>
      <x:c r="E89" s="100" t="str">
        <x:v>布尔哈苏台</x:v>
      </x:c>
      <x:c r="F89" s="100" t="str">
        <x:v>康熙四十七年九月乙亥</x:v>
      </x:c>
      <x:c r="G89" s="108" t="str">
        <x:v>1708-10-15</x:v>
      </x:c>
      <x:c r="H89" s="108" t="str">
        <x:v>1708-10-15</x:v>
      </x:c>
      <x:c r="I89" s="100" t="str">
        <x:v>确定</x:v>
      </x:c>
      <x:c r="J89" s="100" t="str">
        <x:v>审核中</x:v>
      </x:c>
      <x:c r="K89" s="100" t="str">
        <x:v>QH-SU-KX-0234A</x:v>
      </x:c>
      <x:c r="L89" s="100" t="str">
        <x:v>卷234；康熙四十七年九月二日；1/2</x:v>
      </x:c>
      <x:c r="M89" s="100" t="str">
        <x:v>是日、上駐蹕布爾哈蘇台。</x:v>
      </x:c>
      <x:c r="N89" s="100" t="str">
        <x:v>支持</x:v>
      </x:c>
      <x:c r="O89" s="100" t="str">
        <x:v>明确记载</x:v>
      </x:c>
      <x:c r="P89" s="100" t="str">
        <x:v>强</x:v>
      </x:c>
      <x:c r="Q89" s="100" t="str">
        <x:v>QH-SF-QSL-KX</x:v>
      </x:c>
      <x:c r="R89" s="100" t="str"/>
      <x:c r="S89" s="100" t="str">
        <x:v>结构化导入</x:v>
      </x:c>
      <x:c r="T89" s="100" t="str">
        <x:v>AI</x:v>
      </x:c>
      <x:c r="U89" s="100" t="str"/>
      <x:c r="V89" s="108" t="str"/>
      <x:c r="W89" s="100" t="str">
        <x:v>同条前有十八阿哥病「諒已無濟」谕，不得写成废太子原因。允祄薨见丁丑第2/2条。韩国页面仅标1708年。公历依与丁丑1708-10-17同一历法对照，待独立历法库复核。</x:v>
      </x:c>
    </x:row>
    <x:row r="90" ht="34" customHeight="1">
      <x:c r="A90" s="100" t="str">
        <x:v>QH-A-KX-0086</x:v>
      </x:c>
      <x:c r="B90" s="100" t="str">
        <x:v>事件发生</x:v>
      </x:c>
      <x:c r="C90" s="100" t="str">
        <x:v>QH-P-000004</x:v>
      </x:c>
      <x:c r="D90" s="100" t="str">
        <x:v>arrested_as_heir</x:v>
      </x:c>
      <x:c r="E90" s="100" t="str">
        <x:v>命跪后即行拘执</x:v>
      </x:c>
      <x:c r="F90" s="100" t="str">
        <x:v>康熙四十七年九月丁丑</x:v>
      </x:c>
      <x:c r="G90" s="108" t="str">
        <x:v>1708-10-17</x:v>
      </x:c>
      <x:c r="H90" s="108" t="str">
        <x:v>1708-10-17</x:v>
      </x:c>
      <x:c r="I90" s="100" t="str">
        <x:v>确定</x:v>
      </x:c>
      <x:c r="J90" s="100" t="str">
        <x:v>审核中</x:v>
      </x:c>
      <x:c r="K90" s="100" t="str">
        <x:v>QH-SU-KX-0234B</x:v>
      </x:c>
      <x:c r="L90" s="100" t="str">
        <x:v>卷234；康熙四十七年九月四日；1/2</x:v>
      </x:c>
      <x:c r="M90" s="100" t="str">
        <x:v>命皇太子允礽跪。……著將允礽即行拘執。</x:v>
      </x:c>
      <x:c r="N90" s="100" t="str">
        <x:v>支持</x:v>
      </x:c>
      <x:c r="O90" s="100" t="str">
        <x:v>明确记载</x:v>
      </x:c>
      <x:c r="P90" s="100" t="str">
        <x:v>强</x:v>
      </x:c>
      <x:c r="Q90" s="100" t="str">
        <x:v>QH-SF-QSL-KX</x:v>
      </x:c>
      <x:c r="R90" s="100" t="str"/>
      <x:c r="S90" s="100" t="str">
        <x:v>结构化导入</x:v>
      </x:c>
      <x:c r="T90" s="100" t="str">
        <x:v>AI</x:v>
      </x:c>
      <x:c r="U90" s="100" t="str"/>
      <x:c r="V90" s="108" t="str"/>
      <x:c r="W90" s="100" t="str">
        <x:v>实录用允礽。与本纪丁丑拘执同日，详于本纪。上谕「生而剋母」只记为用语，不得写成已核事实。同日第2/2条允祄薨不得并入本条。韩国页面仅标1708年。</x:v>
      </x:c>
    </x:row>
    <x:row r="91" ht="34" customHeight="1">
      <x:c r="A91" s="100" t="str">
        <x:v>QH-A-KX-0087</x:v>
      </x:c>
      <x:c r="B91" s="100" t="str">
        <x:v>文字或数值陈述</x:v>
      </x:c>
      <x:c r="C91" s="100" t="str">
        <x:v>QH-P-000001</x:v>
      </x:c>
      <x:c r="D91" s="100" t="str">
        <x:v>stated_not_to_invest</x:v>
      </x:c>
      <x:c r="E91" s="100" t="str">
        <x:v>无意立允禔为皇太子</x:v>
      </x:c>
      <x:c r="F91" s="100" t="str">
        <x:v>康熙四十七年九月丁丑</x:v>
      </x:c>
      <x:c r="G91" s="108" t="str">
        <x:v>1708-10-17</x:v>
      </x:c>
      <x:c r="H91" s="108" t="str">
        <x:v>1708-10-17</x:v>
      </x:c>
      <x:c r="I91" s="100" t="str">
        <x:v>确定</x:v>
      </x:c>
      <x:c r="J91" s="100" t="str">
        <x:v>审核中</x:v>
      </x:c>
      <x:c r="K91" s="100" t="str">
        <x:v>QH-SU-KX-0234B</x:v>
      </x:c>
      <x:c r="L91" s="100" t="str">
        <x:v>卷234；康熙四十七年九月四日；1/2</x:v>
      </x:c>
      <x:c r="M91" s="100" t="str">
        <x:v>朕前命直郡王允禔、善護朕躬、並無欲立允禔為皇太子之意。</x:v>
      </x:c>
      <x:c r="N91" s="100" t="str">
        <x:v>支持</x:v>
      </x:c>
      <x:c r="O91" s="100" t="str">
        <x:v>明确记载</x:v>
      </x:c>
      <x:c r="P91" s="100" t="str">
        <x:v>强</x:v>
      </x:c>
      <x:c r="Q91" s="100" t="str">
        <x:v>QH-SF-QSL-KX</x:v>
      </x:c>
      <x:c r="R91" s="100" t="str"/>
      <x:c r="S91" s="100" t="str">
        <x:v>结构化导入</x:v>
      </x:c>
      <x:c r="T91" s="100" t="str">
        <x:v>AI</x:v>
      </x:c>
      <x:c r="U91" s="100" t="str"/>
      <x:c r="V91" s="108" t="str"/>
      <x:c r="W91" s="100" t="str">
        <x:v>这是拘执当日上谕的否定句，不是后来削胤禔爵。不得据此写成已选定他人。韩国页面仅标1708年。</x:v>
      </x:c>
    </x:row>
    <x:row r="92" ht="34" customHeight="1">
      <x:c r="A92" s="100" t="str">
        <x:v>QH-A-KX-0088</x:v>
      </x:c>
      <x:c r="B92" s="100" t="str">
        <x:v>事件发生</x:v>
      </x:c>
      <x:c r="C92" s="100" t="str">
        <x:v>QH-P-000015</x:v>
      </x:c>
      <x:c r="D92" s="100" t="str">
        <x:v>died_on</x:v>
      </x:c>
      <x:c r="E92" s="100" t="str">
        <x:v>薨</x:v>
      </x:c>
      <x:c r="F92" s="100" t="str">
        <x:v>康熙四十七年九月丁丑</x:v>
      </x:c>
      <x:c r="G92" s="108" t="str">
        <x:v>1708-10-17</x:v>
      </x:c>
      <x:c r="H92" s="108" t="str">
        <x:v>1708-10-17</x:v>
      </x:c>
      <x:c r="I92" s="100" t="str">
        <x:v>确定</x:v>
      </x:c>
      <x:c r="J92" s="100" t="str">
        <x:v>审核中</x:v>
      </x:c>
      <x:c r="K92" s="100" t="str">
        <x:v>QH-SU-KX-0234C</x:v>
      </x:c>
      <x:c r="L92" s="100" t="str">
        <x:v>卷234；康熙四十七年九月四日；2/2</x:v>
      </x:c>
      <x:c r="M92" s="100" t="str">
        <x:v>皇子允祄薨。</x:v>
      </x:c>
      <x:c r="N92" s="100" t="str">
        <x:v>支持</x:v>
      </x:c>
      <x:c r="O92" s="100" t="str">
        <x:v>明确记载</x:v>
      </x:c>
      <x:c r="P92" s="100" t="str">
        <x:v>强</x:v>
      </x:c>
      <x:c r="Q92" s="100" t="str">
        <x:v>QH-SF-QSL-KX</x:v>
      </x:c>
      <x:c r="R92" s="100" t="str"/>
      <x:c r="S92" s="100" t="str">
        <x:v>结构化导入</x:v>
      </x:c>
      <x:c r="T92" s="100" t="str">
        <x:v>AI</x:v>
      </x:c>
      <x:c r="U92" s="100" t="str"/>
      <x:c r="V92" s="108" t="str"/>
      <x:c r="W92" s="100" t="str">
        <x:v>同日不同条。不得写成因为允祄死所以废太子。乙亥条只记病「諒已無濟」，薨日以本条为准。韩国页面仅标1708年。</x:v>
      </x:c>
    </x:row>
    <x:row r="93" ht="34" customHeight="1">
      <x:c r="A93" s="100" t="str">
        <x:v>QH-A-KX-0089</x:v>
      </x:c>
      <x:c r="B93" s="100" t="str">
        <x:v>事件发生</x:v>
      </x:c>
      <x:c r="C93" s="100" t="str">
        <x:v>QH-P-000004</x:v>
      </x:c>
      <x:c r="D93" s="100" t="str">
        <x:v>deposed_as_heir</x:v>
      </x:c>
      <x:c r="E93" s="100" t="str">
        <x:v>废皇太子颁诏天下</x:v>
      </x:c>
      <x:c r="F93" s="100" t="str">
        <x:v>康熙四十七年九月丁酉</x:v>
      </x:c>
      <x:c r="G93" s="108" t="str">
        <x:v>1708-11-06</x:v>
      </x:c>
      <x:c r="H93" s="108" t="str">
        <x:v>1708-11-06</x:v>
      </x:c>
      <x:c r="I93" s="100" t="str">
        <x:v>确定</x:v>
      </x:c>
      <x:c r="J93" s="100" t="str">
        <x:v>审核中</x:v>
      </x:c>
      <x:c r="K93" s="100" t="str">
        <x:v>QH-SU-KX-0234D</x:v>
      </x:c>
      <x:c r="L93" s="100" t="str">
        <x:v>卷234；康熙四十七年九月二十四日；1/2</x:v>
      </x:c>
      <x:c r="M93" s="100" t="str">
        <x:v>丁酉。以廢皇太子允礽。頒詔天下。</x:v>
      </x:c>
      <x:c r="N93" s="100" t="str">
        <x:v>支持</x:v>
      </x:c>
      <x:c r="O93" s="100" t="str">
        <x:v>明确记载</x:v>
      </x:c>
      <x:c r="P93" s="100" t="str">
        <x:v>强</x:v>
      </x:c>
      <x:c r="Q93" s="100" t="str">
        <x:v>QH-SF-QSL-KX</x:v>
      </x:c>
      <x:c r="R93" s="100" t="str">
        <x:v>QH-CF-KX-DEPOSE-YEAR</x:v>
      </x:c>
      <x:c r="S93" s="100" t="str">
        <x:v>结构化导入</x:v>
      </x:c>
      <x:c r="T93" s="100" t="str">
        <x:v>AI</x:v>
      </x:c>
      <x:c r="U93" s="100" t="str"/>
      <x:c r="V93" s="108" t="str"/>
      <x:c r="W93" s="100" t="str">
        <x:v>实录与本纪均作四十七年九月丁酉。世表作四十六年废。两说并存。诏文「狂易成疾」只记为用语，不得写成已核诊断。韩国页面仅标1708年。</x:v>
      </x:c>
    </x:row>
    <x:row r="94" ht="34" customHeight="1">
      <x:c r="A94" s="100" t="str">
        <x:v>QH-A-KX-0090</x:v>
      </x:c>
      <x:c r="B94" s="100" t="str">
        <x:v>文字或数值陈述</x:v>
      </x:c>
      <x:c r="C94" s="100" t="str">
        <x:v>QH-P-000004</x:v>
      </x:c>
      <x:c r="D94" s="100" t="str">
        <x:v>edict_stated_ritual_date</x:v>
      </x:c>
      <x:c r="E94" s="100" t="str">
        <x:v>九月十八日告祭废黜拘禁</x:v>
      </x:c>
      <x:c r="F94" s="100" t="str">
        <x:v>康熙四十七年九月丁酉诏文所记</x:v>
      </x:c>
      <x:c r="G94" s="108" t="str">
        <x:v>1708-11-06</x:v>
      </x:c>
      <x:c r="H94" s="108" t="str">
        <x:v>1708-11-06</x:v>
      </x:c>
      <x:c r="I94" s="100" t="str">
        <x:v>确定</x:v>
      </x:c>
      <x:c r="J94" s="100" t="str">
        <x:v>审核中</x:v>
      </x:c>
      <x:c r="K94" s="100" t="str">
        <x:v>QH-SU-KX-0234D</x:v>
      </x:c>
      <x:c r="L94" s="100" t="str">
        <x:v>卷234；康熙四十七年九月二十四日；1/2；诏文</x:v>
      </x:c>
      <x:c r="M94" s="100" t="str">
        <x:v>於康熙四十七年九月十八日、奉皇太后慈命、告祭天地、太廟、社稷。特廢黜拘禁。</x:v>
      </x:c>
      <x:c r="N94" s="100" t="str">
        <x:v>支持</x:v>
      </x:c>
      <x:c r="O94" s="100" t="str">
        <x:v>明确记载</x:v>
      </x:c>
      <x:c r="P94" s="100" t="str">
        <x:v>强</x:v>
      </x:c>
      <x:c r="Q94" s="100" t="str">
        <x:v>QH-SF-QSL-KX</x:v>
      </x:c>
      <x:c r="R94" s="100" t="str"/>
      <x:c r="S94" s="100" t="str">
        <x:v>结构化导入</x:v>
      </x:c>
      <x:c r="T94" s="100" t="str">
        <x:v>AI</x:v>
      </x:c>
      <x:c r="U94" s="100" t="str"/>
      <x:c r="V94" s="108" t="str"/>
      <x:c r="W94" s="100" t="str">
        <x:v>这是丁酉颁诏文本的自述日期，不是丁丑拘执日，也不是丁酉颁诏日。十八日条次本轮未打开，不另建事件。公历字段用颁诏日，不是十八日换算。韩国页面仅标1708年。</x:v>
      </x:c>
    </x:row>
    <x:row r="95" ht="34" customHeight="1">
      <x:c r="A95" s="100" t="str">
        <x:v>QH-A-KX-0091</x:v>
      </x:c>
      <x:c r="B95" s="100" t="str">
        <x:v>文字或数值陈述</x:v>
      </x:c>
      <x:c r="C95" s="100" t="str">
        <x:v>QH-P-000003</x:v>
      </x:c>
      <x:c r="D95" s="100" t="str">
        <x:v>reported_in_edict</x:v>
      </x:c>
      <x:c r="E95" s="100" t="str">
        <x:v>欲诛允礽不必出自皇父之手</x:v>
      </x:c>
      <x:c r="F95" s="100" t="str">
        <x:v>康熙四十七年九月戊戌</x:v>
      </x:c>
      <x:c r="G95" s="108" t="str">
        <x:v>1708-11-07</x:v>
      </x:c>
      <x:c r="H95" s="108" t="str">
        <x:v>1708-11-07</x:v>
      </x:c>
      <x:c r="I95" s="100" t="str">
        <x:v>确定</x:v>
      </x:c>
      <x:c r="J95" s="100" t="str">
        <x:v>审核中</x:v>
      </x:c>
      <x:c r="K95" s="100" t="str">
        <x:v>QH-SU-KX-0234E</x:v>
      </x:c>
      <x:c r="L95" s="100" t="str">
        <x:v>卷234；康熙四十七年九月二十五日；1/2</x:v>
      </x:c>
      <x:c r="M95" s="100" t="str">
        <x:v>拘禁允礽時。允禔奏、允礽所行卑污、大失人心。……今欲誅允礽。不必出自皇父之手。</x:v>
      </x:c>
      <x:c r="N95" s="100" t="str">
        <x:v>支持</x:v>
      </x:c>
      <x:c r="O95" s="100" t="str">
        <x:v>明确记载</x:v>
      </x:c>
      <x:c r="P95" s="100" t="str">
        <x:v>强</x:v>
      </x:c>
      <x:c r="Q95" s="100" t="str">
        <x:v>QH-SF-QSL-KX</x:v>
      </x:c>
      <x:c r="R95" s="100" t="str"/>
      <x:c r="S95" s="100" t="str">
        <x:v>结构化导入</x:v>
      </x:c>
      <x:c r="T95" s="100" t="str">
        <x:v>AI</x:v>
      </x:c>
      <x:c r="U95" s="100" t="str"/>
      <x:c r="V95" s="108" t="str"/>
      <x:c r="W95" s="100" t="str">
        <x:v>这是上谕转述允禔曾奏，不是当场对质全文。相面人张明德、允禩后必大贵均为转述内容，不得写成已核预言或八爷党已证。镇魇仍以列传为另源。韩国页面仅标1708年。</x:v>
      </x:c>
    </x:row>
    <x:row r="96" ht="34" customHeight="1">
      <x:c r="A96" s="100" t="str">
        <x:v>QH-A-KX-0092</x:v>
      </x:c>
      <x:c r="B96" s="100" t="str">
        <x:v>事件发生</x:v>
      </x:c>
      <x:c r="C96" s="100" t="str">
        <x:v>QH-P-000004</x:v>
      </x:c>
      <x:c r="D96" s="100" t="str">
        <x:v>reinstated_as_heir</x:v>
      </x:c>
      <x:c r="E96" s="100" t="str">
        <x:v>授册宝复立为皇太子</x:v>
      </x:c>
      <x:c r="F96" s="100" t="str">
        <x:v>康熙四十八年三月辛巳</x:v>
      </x:c>
      <x:c r="G96" s="108" t="str">
        <x:v>1709-04-19</x:v>
      </x:c>
      <x:c r="H96" s="108" t="str">
        <x:v>1709-04-19</x:v>
      </x:c>
      <x:c r="I96" s="100" t="str">
        <x:v>确定</x:v>
      </x:c>
      <x:c r="J96" s="100" t="str">
        <x:v>审核中</x:v>
      </x:c>
      <x:c r="K96" s="100" t="str">
        <x:v>QH-SU-KX-0237A</x:v>
      </x:c>
      <x:c r="L96" s="100" t="str">
        <x:v>卷237；康熙四十八年三月十日；1/3</x:v>
      </x:c>
      <x:c r="M96" s="100" t="str">
        <x:v>授皇太子允礽冊寶。復立為皇太子。</x:v>
      </x:c>
      <x:c r="N96" s="100" t="str">
        <x:v>支持</x:v>
      </x:c>
      <x:c r="O96" s="100" t="str">
        <x:v>明确记载</x:v>
      </x:c>
      <x:c r="P96" s="100" t="str">
        <x:v>强</x:v>
      </x:c>
      <x:c r="Q96" s="100" t="str">
        <x:v>QH-SF-QSL-KX</x:v>
      </x:c>
      <x:c r="R96" s="100" t="str"/>
      <x:c r="S96" s="100" t="str">
        <x:v>结构化导入</x:v>
      </x:c>
      <x:c r="T96" s="100" t="str">
        <x:v>AI</x:v>
      </x:c>
      <x:c r="U96" s="100" t="str"/>
      <x:c r="V96" s="108" t="str"/>
      <x:c r="W96" s="100" t="str">
        <x:v>实录与本纪均作三月辛巳。同条并记复封皇太子妃。当日1/3；2/3有硃书称今日乃立皇太子吉日，未拆入本条。韩国页面仅标1709年。</x:v>
      </x:c>
    </x:row>
    <x:row r="97" ht="34" customHeight="1">
      <x:c r="A97" s="100" t="str">
        <x:v>QH-A-KX-0093</x:v>
      </x:c>
      <x:c r="B97" s="100" t="str">
        <x:v>文字或数值陈述</x:v>
      </x:c>
      <x:c r="C97" s="100" t="str">
        <x:v>QH-P-000001</x:v>
      </x:c>
      <x:c r="D97" s="100" t="str">
        <x:v>father_of_in_princess_table</x:v>
      </x:c>
      <x:c r="E97" s="100" t="str">
        <x:v>卷166圣祖亲生女二十人，另附抚育一女</x:v>
      </x:c>
      <x:c r="F97" s="100" t="str">
        <x:v>清史稿卷166公主表圣祖系（表无统一生年）</x:v>
      </x:c>
      <x:c r="G97" s="108" t="str">
        <x:v>1668-02-12</x:v>
      </x:c>
      <x:c r="H97" s="108" t="str">
        <x:v>1736-02-11</x:v>
      </x:c>
      <x:c r="I97" s="100" t="str">
        <x:v>约略</x:v>
      </x:c>
      <x:c r="J97" s="100" t="str">
        <x:v>审核中</x:v>
      </x:c>
      <x:c r="K97" s="100" t="str">
        <x:v>QH-SU-QSG-0166</x:v>
      </x:c>
      <x:c r="L97" s="100" t="str">
        <x:v>卷166；圣祖第一女至第二十女；抚弟常宁第一女</x:v>
      </x:c>
      <x:c r="M97" s="100" t="str">
        <x:v>聖祖第一女……聖祖第二十女……聖祖撫弟恭親王常寧第一女</x:v>
      </x:c>
      <x:c r="N97" s="100" t="str">
        <x:v>支持</x:v>
      </x:c>
      <x:c r="O97" s="100" t="str">
        <x:v>推定</x:v>
      </x:c>
      <x:c r="P97" s="100" t="str">
        <x:v>中</x:v>
      </x:c>
      <x:c r="Q97" s="100" t="str">
        <x:v>QH-SF-QSG</x:v>
      </x:c>
      <x:c r="R97" s="100" t="str"/>
      <x:c r="S97" s="100" t="str">
        <x:v>结构化导入</x:v>
      </x:c>
      <x:c r="T97" s="100" t="str">
        <x:v>AI</x:v>
      </x:c>
      <x:c r="U97" s="100" t="str"/>
      <x:c r="V97" s="108" t="str"/>
      <x:c r="W97" s="100" t="str">
        <x:v>本条是对已打开卷166的结构计数，不是玉牒二十女结论。抚育女不计入亲生二十。未封十二、受封八。公历用第一女生年所在康熙七年起，至第六女薨年雍正十三年止，不是全表精确起迄。</x:v>
      </x:c>
    </x:row>
    <x:row r="98" ht="34" customHeight="1">
      <x:c r="A98" s="100" t="str">
        <x:v>QH-A-KX-0094</x:v>
      </x:c>
      <x:c r="B98" s="100" t="str">
        <x:v>文字或数值陈述</x:v>
      </x:c>
      <x:c r="C98" s="100" t="str">
        <x:v>QH-P-000021</x:v>
      </x:c>
      <x:c r="D98" s="100" t="str">
        <x:v>table_daughter_order</x:v>
      </x:c>
      <x:c r="E98" s="100" t="str">
        <x:v>圣祖第三女</x:v>
      </x:c>
      <x:c r="F98" s="100" t="str">
        <x:v>清史稿卷166第三女行</x:v>
      </x:c>
      <x:c r="G98" s="108" t="str">
        <x:v>1673-02-16</x:v>
      </x:c>
      <x:c r="H98" s="108" t="str">
        <x:v>1728-01-28</x:v>
      </x:c>
      <x:c r="I98" s="100" t="str">
        <x:v>确定</x:v>
      </x:c>
      <x:c r="J98" s="100" t="str">
        <x:v>审核中</x:v>
      </x:c>
      <x:c r="K98" s="100" t="str">
        <x:v>QH-SU-QSG-0166</x:v>
      </x:c>
      <x:c r="L98" s="100" t="str">
        <x:v>卷166；圣祖第三女</x:v>
      </x:c>
      <x:c r="M98" s="100" t="str">
        <x:v>聖祖第三女　榮妃馬佳氏生</x:v>
      </x:c>
      <x:c r="N98" s="100" t="str">
        <x:v>支持</x:v>
      </x:c>
      <x:c r="O98" s="100" t="str">
        <x:v>明确记载</x:v>
      </x:c>
      <x:c r="P98" s="100" t="str">
        <x:v>中</x:v>
      </x:c>
      <x:c r="Q98" s="100" t="str">
        <x:v>QH-SF-QSG</x:v>
      </x:c>
      <x:c r="R98" s="100" t="str"/>
      <x:c r="S98" s="100" t="str">
        <x:v>结构化导入</x:v>
      </x:c>
      <x:c r="T98" s="100" t="str">
        <x:v>AI</x:v>
      </x:c>
      <x:c r="U98" s="100" t="str"/>
      <x:c r="V98" s="108" t="str"/>
      <x:c r="W98" s="100" t="str">
        <x:v>表序第三女。生母候选荣妃马佳氏 QH-P-000027。这是公主表序齿，不是玉牒自然序。公历用表内生薨年所在年号起迄，待历法库复核。</x:v>
      </x:c>
    </x:row>
    <x:row r="99" ht="34" customHeight="1">
      <x:c r="A99" s="100" t="str">
        <x:v>QH-A-KX-0095</x:v>
      </x:c>
      <x:c r="B99" s="100" t="str">
        <x:v>事件发生</x:v>
      </x:c>
      <x:c r="C99" s="100" t="str">
        <x:v>QH-P-000021</x:v>
      </x:c>
      <x:c r="D99" s="100" t="str">
        <x:v>invested_as_princess</x:v>
      </x:c>
      <x:c r="E99" s="100" t="str">
        <x:v>和硕荣宪公主</x:v>
      </x:c>
      <x:c r="F99" s="100" t="str">
        <x:v>清史稿卷166第三女行（初封无年月）</x:v>
      </x:c>
      <x:c r="G99" s="108" t="str">
        <x:v>1673-02-16</x:v>
      </x:c>
      <x:c r="H99" s="108" t="str">
        <x:v>1709-02-09</x:v>
      </x:c>
      <x:c r="I99" s="100" t="str">
        <x:v>约略</x:v>
      </x:c>
      <x:c r="J99" s="100" t="str">
        <x:v>审核中</x:v>
      </x:c>
      <x:c r="K99" s="100" t="str">
        <x:v>QH-SU-QSG-0166</x:v>
      </x:c>
      <x:c r="L99" s="100" t="str">
        <x:v>卷166；圣祖第三女；封</x:v>
      </x:c>
      <x:c r="M99" s="100" t="str">
        <x:v>初封和碩榮憲公主，四十八年進封固倫榮憲公主。</x:v>
      </x:c>
      <x:c r="N99" s="100" t="str">
        <x:v>支持</x:v>
      </x:c>
      <x:c r="O99" s="100" t="str">
        <x:v>明确记载</x:v>
      </x:c>
      <x:c r="P99" s="100" t="str">
        <x:v>中</x:v>
      </x:c>
      <x:c r="Q99" s="100" t="str">
        <x:v>QH-SF-QSG</x:v>
      </x:c>
      <x:c r="R99" s="100" t="str"/>
      <x:c r="S99" s="100" t="str">
        <x:v>结构化导入</x:v>
      </x:c>
      <x:c r="T99" s="100" t="str">
        <x:v>AI</x:v>
      </x:c>
      <x:c r="U99" s="100" t="str"/>
      <x:c r="V99" s="108" t="str"/>
      <x:c r="W99" s="100" t="str">
        <x:v>初封是和硕，不是固伦。初封年月未记，公历上界用进封前一年康熙四十七年止。册文未见。</x:v>
      </x:c>
    </x:row>
    <x:row r="100" ht="34" customHeight="1">
      <x:c r="A100" s="100" t="str">
        <x:v>QH-A-KX-0096</x:v>
      </x:c>
      <x:c r="B100" s="100" t="str">
        <x:v>事件发生</x:v>
      </x:c>
      <x:c r="C100" s="100" t="str">
        <x:v>QH-P-000021</x:v>
      </x:c>
      <x:c r="D100" s="100" t="str">
        <x:v>advanced_as_princess</x:v>
      </x:c>
      <x:c r="E100" s="100" t="str">
        <x:v>固伦荣宪公主</x:v>
      </x:c>
      <x:c r="F100" s="100" t="str">
        <x:v>康熙四十八年</x:v>
      </x:c>
      <x:c r="G100" s="108" t="str">
        <x:v>1709-02-10</x:v>
      </x:c>
      <x:c r="H100" s="108" t="str">
        <x:v>1710-01-29</x:v>
      </x:c>
      <x:c r="I100" s="100" t="str">
        <x:v>约略</x:v>
      </x:c>
      <x:c r="J100" s="100" t="str">
        <x:v>审核中</x:v>
      </x:c>
      <x:c r="K100" s="100" t="str">
        <x:v>QH-SU-QSG-0166</x:v>
      </x:c>
      <x:c r="L100" s="100" t="str">
        <x:v>卷166；圣祖第三女；进封</x:v>
      </x:c>
      <x:c r="M100" s="100" t="str">
        <x:v>四十八年進封固倫榮憲公主。</x:v>
      </x:c>
      <x:c r="N100" s="100" t="str">
        <x:v>支持</x:v>
      </x:c>
      <x:c r="O100" s="100" t="str">
        <x:v>明确记载</x:v>
      </x:c>
      <x:c r="P100" s="100" t="str">
        <x:v>中</x:v>
      </x:c>
      <x:c r="Q100" s="100" t="str">
        <x:v>QH-SF-QSG</x:v>
      </x:c>
      <x:c r="R100" s="100" t="str"/>
      <x:c r="S100" s="100" t="str">
        <x:v>结构化导入</x:v>
      </x:c>
      <x:c r="T100" s="100" t="str">
        <x:v>AI</x:v>
      </x:c>
      <x:c r="U100" s="100" t="str"/>
      <x:c r="V100" s="108" t="str"/>
      <x:c r="W100" s="100" t="str">
        <x:v>原纪年只到年。不得把固伦倒写成康熙十二年出生时的称号。</x:v>
      </x:c>
    </x:row>
    <x:row r="101" ht="34" customHeight="1">
      <x:c r="A101" s="100" t="str">
        <x:v>QH-A-KX-0097</x:v>
      </x:c>
      <x:c r="B101" s="100" t="str">
        <x:v>事件发生</x:v>
      </x:c>
      <x:c r="C101" s="100" t="str">
        <x:v>QH-P-000021</x:v>
      </x:c>
      <x:c r="D101" s="100" t="str">
        <x:v>married_to</x:v>
      </x:c>
      <x:c r="E101" s="100" t="str">
        <x:v>乌尔衮</x:v>
      </x:c>
      <x:c r="F101" s="100" t="str">
        <x:v>康熙三十年六月</x:v>
      </x:c>
      <x:c r="G101" s="108" t="str">
        <x:v>1691-01-29</x:v>
      </x:c>
      <x:c r="H101" s="108" t="str">
        <x:v>1692-02-15</x:v>
      </x:c>
      <x:c r="I101" s="100" t="str">
        <x:v>约略</x:v>
      </x:c>
      <x:c r="J101" s="100" t="str">
        <x:v>审核中</x:v>
      </x:c>
      <x:c r="K101" s="100" t="str">
        <x:v>QH-SU-QSG-0166</x:v>
      </x:c>
      <x:c r="L101" s="100" t="str">
        <x:v>卷166；圣祖第三女；下嫁</x:v>
      </x:c>
      <x:c r="M101" s="100" t="str">
        <x:v>康熙三十年六月，下嫁烏爾袞</x:v>
      </x:c>
      <x:c r="N101" s="100" t="str">
        <x:v>支持</x:v>
      </x:c>
      <x:c r="O101" s="100" t="str">
        <x:v>明确记载</x:v>
      </x:c>
      <x:c r="P101" s="100" t="str">
        <x:v>中</x:v>
      </x:c>
      <x:c r="Q101" s="100" t="str">
        <x:v>QH-SF-QSG</x:v>
      </x:c>
      <x:c r="R101" s="100" t="str"/>
      <x:c r="S101" s="100" t="str">
        <x:v>结构化导入</x:v>
      </x:c>
      <x:c r="T101" s="100" t="str">
        <x:v>AI</x:v>
      </x:c>
      <x:c r="U101" s="100" t="str"/>
      <x:c r="V101" s="108" t="str"/>
      <x:c r="W101" s="100" t="str">
        <x:v>额驸乌尔衮尚未建档。月份未换算到日，公历用康熙三十年整年，待历法库复核。</x:v>
      </x:c>
    </x:row>
    <x:row r="102" ht="34" customHeight="1">
      <x:c r="A102" s="100" t="str">
        <x:v>QH-A-KX-0098</x:v>
      </x:c>
      <x:c r="B102" s="100" t="str">
        <x:v>事件发生</x:v>
      </x:c>
      <x:c r="C102" s="100" t="str">
        <x:v>QH-P-000021</x:v>
      </x:c>
      <x:c r="D102" s="100" t="str">
        <x:v>born_on</x:v>
      </x:c>
      <x:c r="E102" s="100" t="str">
        <x:v>生</x:v>
      </x:c>
      <x:c r="F102" s="100" t="str">
        <x:v>康熙十二年五月</x:v>
      </x:c>
      <x:c r="G102" s="108" t="str">
        <x:v>1673-02-16</x:v>
      </x:c>
      <x:c r="H102" s="108" t="str">
        <x:v>1674-02-05</x:v>
      </x:c>
      <x:c r="I102" s="100" t="str">
        <x:v>约略</x:v>
      </x:c>
      <x:c r="J102" s="100" t="str">
        <x:v>审核中</x:v>
      </x:c>
      <x:c r="K102" s="100" t="str">
        <x:v>QH-SU-QSG-0166</x:v>
      </x:c>
      <x:c r="L102" s="100" t="str">
        <x:v>卷166；圣祖第三女；生薨</x:v>
      </x:c>
      <x:c r="M102" s="100" t="str">
        <x:v>康熙十二年五月生</x:v>
      </x:c>
      <x:c r="N102" s="100" t="str">
        <x:v>支持</x:v>
      </x:c>
      <x:c r="O102" s="100" t="str">
        <x:v>明确记载</x:v>
      </x:c>
      <x:c r="P102" s="100" t="str">
        <x:v>中</x:v>
      </x:c>
      <x:c r="Q102" s="100" t="str">
        <x:v>QH-SF-QSG</x:v>
      </x:c>
      <x:c r="R102" s="100" t="str"/>
      <x:c r="S102" s="100" t="str">
        <x:v>结构化导入</x:v>
      </x:c>
      <x:c r="T102" s="100" t="str">
        <x:v>AI</x:v>
      </x:c>
      <x:c r="U102" s="100" t="str"/>
      <x:c r="V102" s="108" t="str"/>
      <x:c r="W102" s="100" t="str">
        <x:v>只到月。公历用康熙十二年整年。不是玉牒出生证明。</x:v>
      </x:c>
    </x:row>
    <x:row r="103" ht="34" customHeight="1">
      <x:c r="A103" s="100" t="str">
        <x:v>QH-A-KX-0099</x:v>
      </x:c>
      <x:c r="B103" s="100" t="str">
        <x:v>事件发生</x:v>
      </x:c>
      <x:c r="C103" s="100" t="str">
        <x:v>QH-P-000021</x:v>
      </x:c>
      <x:c r="D103" s="100" t="str">
        <x:v>died_on</x:v>
      </x:c>
      <x:c r="E103" s="100" t="str">
        <x:v>薨</x:v>
      </x:c>
      <x:c r="F103" s="100" t="str">
        <x:v>雍正六年四月</x:v>
      </x:c>
      <x:c r="G103" s="108" t="str">
        <x:v>1728-02-10</x:v>
      </x:c>
      <x:c r="H103" s="108" t="str">
        <x:v>1729-01-28</x:v>
      </x:c>
      <x:c r="I103" s="100" t="str">
        <x:v>约略</x:v>
      </x:c>
      <x:c r="J103" s="100" t="str">
        <x:v>审核中</x:v>
      </x:c>
      <x:c r="K103" s="100" t="str">
        <x:v>QH-SU-QSG-0166</x:v>
      </x:c>
      <x:c r="L103" s="100" t="str">
        <x:v>卷166；圣祖第三女；生薨</x:v>
      </x:c>
      <x:c r="M103" s="100" t="str">
        <x:v>雍正六年四月薨，年五十六</x:v>
      </x:c>
      <x:c r="N103" s="100" t="str">
        <x:v>支持</x:v>
      </x:c>
      <x:c r="O103" s="100" t="str">
        <x:v>明确记载</x:v>
      </x:c>
      <x:c r="P103" s="100" t="str">
        <x:v>中</x:v>
      </x:c>
      <x:c r="Q103" s="100" t="str">
        <x:v>QH-SF-QSG</x:v>
      </x:c>
      <x:c r="R103" s="100" t="str"/>
      <x:c r="S103" s="100" t="str">
        <x:v>结构化导入</x:v>
      </x:c>
      <x:c r="T103" s="100" t="str">
        <x:v>AI</x:v>
      </x:c>
      <x:c r="U103" s="100" t="str"/>
      <x:c r="V103" s="108" t="str"/>
      <x:c r="W103" s="100" t="str">
        <x:v>年龄五十六仅此表。公历用雍正六年整年。</x:v>
      </x:c>
    </x:row>
    <x:row r="104" ht="34" customHeight="1">
      <x:c r="A104" s="100" t="str">
        <x:v>QH-A-KX-0100</x:v>
      </x:c>
      <x:c r="B104" s="100" t="str">
        <x:v>事件发生</x:v>
      </x:c>
      <x:c r="C104" s="100" t="str">
        <x:v>QH-P-000107</x:v>
      </x:c>
      <x:c r="D104" s="100" t="str">
        <x:v>invested_as_princess</x:v>
      </x:c>
      <x:c r="E104" s="100" t="str">
        <x:v>和硕端静公主</x:v>
      </x:c>
      <x:c r="F104" s="100" t="str">
        <x:v>清史稿卷166第五女行（封号无年月）</x:v>
      </x:c>
      <x:c r="G104" s="108" t="str">
        <x:v>1674-02-06</x:v>
      </x:c>
      <x:c r="H104" s="108" t="str">
        <x:v>1710-01-29</x:v>
      </x:c>
      <x:c r="I104" s="100" t="str">
        <x:v>约略</x:v>
      </x:c>
      <x:c r="J104" s="100" t="str">
        <x:v>审核中</x:v>
      </x:c>
      <x:c r="K104" s="100" t="str">
        <x:v>QH-SU-QSG-0166</x:v>
      </x:c>
      <x:c r="L104" s="100" t="str">
        <x:v>卷166；圣祖第五女；封</x:v>
      </x:c>
      <x:c r="M104" s="100" t="str">
        <x:v>和碩端靜公主</x:v>
      </x:c>
      <x:c r="N104" s="100" t="str">
        <x:v>支持</x:v>
      </x:c>
      <x:c r="O104" s="100" t="str">
        <x:v>明确记载</x:v>
      </x:c>
      <x:c r="P104" s="100" t="str">
        <x:v>中</x:v>
      </x:c>
      <x:c r="Q104" s="100" t="str">
        <x:v>QH-SF-QSG</x:v>
      </x:c>
      <x:c r="R104" s="100" t="str"/>
      <x:c r="S104" s="100" t="str">
        <x:v>结构化导入</x:v>
      </x:c>
      <x:c r="T104" s="100" t="str">
        <x:v>AI</x:v>
      </x:c>
      <x:c r="U104" s="100" t="str"/>
      <x:c r="V104" s="108" t="str"/>
      <x:c r="W104" s="100" t="str">
        <x:v>本表未记进固伦。册封年月日待实录。公历用生年至薨年所在年号起迄。</x:v>
      </x:c>
    </x:row>
    <x:row r="105" ht="34" customHeight="1">
      <x:c r="A105" s="100" t="str">
        <x:v>QH-A-KX-0101</x:v>
      </x:c>
      <x:c r="B105" s="100" t="str">
        <x:v>事件发生</x:v>
      </x:c>
      <x:c r="C105" s="100" t="str">
        <x:v>QH-P-000108</x:v>
      </x:c>
      <x:c r="D105" s="100" t="str">
        <x:v>invested_as_princess</x:v>
      </x:c>
      <x:c r="E105" s="100" t="str">
        <x:v>和硕恪靖公主</x:v>
      </x:c>
      <x:c r="F105" s="100" t="str">
        <x:v>康熙四十五年</x:v>
      </x:c>
      <x:c r="G105" s="108" t="str">
        <x:v>1706-02-13</x:v>
      </x:c>
      <x:c r="H105" s="108" t="str">
        <x:v>1707-02-02</x:v>
      </x:c>
      <x:c r="I105" s="100" t="str">
        <x:v>约略</x:v>
      </x:c>
      <x:c r="J105" s="100" t="str">
        <x:v>审核中</x:v>
      </x:c>
      <x:c r="K105" s="100" t="str">
        <x:v>QH-SU-QSG-0166</x:v>
      </x:c>
      <x:c r="L105" s="100" t="str">
        <x:v>卷166；圣祖第六女；封</x:v>
      </x:c>
      <x:c r="M105" s="100" t="str">
        <x:v>康熙四十五年，封和碩恪靖公主。</x:v>
      </x:c>
      <x:c r="N105" s="100" t="str">
        <x:v>支持</x:v>
      </x:c>
      <x:c r="O105" s="100" t="str">
        <x:v>明确记载</x:v>
      </x:c>
      <x:c r="P105" s="100" t="str">
        <x:v>中</x:v>
      </x:c>
      <x:c r="Q105" s="100" t="str">
        <x:v>QH-SF-QSG</x:v>
      </x:c>
      <x:c r="R105" s="100" t="str"/>
      <x:c r="S105" s="100" t="str">
        <x:v>结构化导入</x:v>
      </x:c>
      <x:c r="T105" s="100" t="str">
        <x:v>AI</x:v>
      </x:c>
      <x:c r="U105" s="100" t="str"/>
      <x:c r="V105" s="108" t="str"/>
      <x:c r="W105" s="100" t="str">
        <x:v>此前作初封和硕公主，无封号。固伦见雍正元年另条。</x:v>
      </x:c>
    </x:row>
    <x:row r="106" ht="34" customHeight="1">
      <x:c r="A106" s="100" t="str">
        <x:v>QH-A-KX-0102</x:v>
      </x:c>
      <x:c r="B106" s="100" t="str">
        <x:v>事件发生</x:v>
      </x:c>
      <x:c r="C106" s="100" t="str">
        <x:v>QH-P-000108</x:v>
      </x:c>
      <x:c r="D106" s="100" t="str">
        <x:v>advanced_as_princess</x:v>
      </x:c>
      <x:c r="E106" s="100" t="str">
        <x:v>固伦恪靖公主</x:v>
      </x:c>
      <x:c r="F106" s="100" t="str">
        <x:v>雍正元年</x:v>
      </x:c>
      <x:c r="G106" s="108" t="str">
        <x:v>1723-02-05</x:v>
      </x:c>
      <x:c r="H106" s="108" t="str">
        <x:v>1724-01-24</x:v>
      </x:c>
      <x:c r="I106" s="100" t="str">
        <x:v>约略</x:v>
      </x:c>
      <x:c r="J106" s="100" t="str">
        <x:v>审核中</x:v>
      </x:c>
      <x:c r="K106" s="100" t="str">
        <x:v>QH-SU-QSG-0166</x:v>
      </x:c>
      <x:c r="L106" s="100" t="str">
        <x:v>卷166；圣祖第六女；进封</x:v>
      </x:c>
      <x:c r="M106" s="100" t="str">
        <x:v>雍正元年，進固倫恪靖公主</x:v>
      </x:c>
      <x:c r="N106" s="100" t="str">
        <x:v>支持</x:v>
      </x:c>
      <x:c r="O106" s="100" t="str">
        <x:v>明确记载</x:v>
      </x:c>
      <x:c r="P106" s="100" t="str">
        <x:v>中</x:v>
      </x:c>
      <x:c r="Q106" s="100" t="str">
        <x:v>QH-SF-QSG</x:v>
      </x:c>
      <x:c r="R106" s="100" t="str"/>
      <x:c r="S106" s="100" t="str">
        <x:v>结构化导入</x:v>
      </x:c>
      <x:c r="T106" s="100" t="str">
        <x:v>AI</x:v>
      </x:c>
      <x:c r="U106" s="100" t="str"/>
      <x:c r="V106" s="108" t="str"/>
      <x:c r="W106" s="100" t="str">
        <x:v>固伦是雍正朝进封，不得写成康熙朝称号。</x:v>
      </x:c>
    </x:row>
    <x:row r="107" ht="34" customHeight="1">
      <x:c r="A107" s="100" t="str">
        <x:v>QH-A-KX-0103</x:v>
      </x:c>
      <x:c r="B107" s="100" t="str">
        <x:v>文字或数值陈述</x:v>
      </x:c>
      <x:c r="C107" s="100" t="str">
        <x:v>QH-P-000109</x:v>
      </x:c>
      <x:c r="D107" s="100" t="str">
        <x:v>table_daughter_order</x:v>
      </x:c>
      <x:c r="E107" s="100" t="str">
        <x:v>圣祖第七女；未封</x:v>
      </x:c>
      <x:c r="F107" s="100" t="str">
        <x:v>康熙二十一年六月生，八月殇</x:v>
      </x:c>
      <x:c r="G107" s="108" t="str">
        <x:v>1682-02-07</x:v>
      </x:c>
      <x:c r="H107" s="108" t="str">
        <x:v>1683-01-26</x:v>
      </x:c>
      <x:c r="I107" s="100" t="str">
        <x:v>确定</x:v>
      </x:c>
      <x:c r="J107" s="100" t="str">
        <x:v>审核中</x:v>
      </x:c>
      <x:c r="K107" s="100" t="str">
        <x:v>QH-SU-QSG-0166</x:v>
      </x:c>
      <x:c r="L107" s="100" t="str">
        <x:v>卷166；圣祖第七女</x:v>
      </x:c>
      <x:c r="M107" s="100" t="str">
        <x:v>聖祖第七女　孝恭仁皇后生　未封　康熙二十一年六月生，八月殤</x:v>
      </x:c>
      <x:c r="N107" s="100" t="str">
        <x:v>支持</x:v>
      </x:c>
      <x:c r="O107" s="100" t="str">
        <x:v>明确记载</x:v>
      </x:c>
      <x:c r="P107" s="100" t="str">
        <x:v>中</x:v>
      </x:c>
      <x:c r="Q107" s="100" t="str">
        <x:v>QH-SF-QSG</x:v>
      </x:c>
      <x:c r="R107" s="100" t="str"/>
      <x:c r="S107" s="100" t="str">
        <x:v>结构化导入</x:v>
      </x:c>
      <x:c r="T107" s="100" t="str">
        <x:v>AI</x:v>
      </x:c>
      <x:c r="U107" s="100" t="str"/>
      <x:c r="V107" s="108" t="str"/>
      <x:c r="W107" s="100" t="str">
        <x:v>生母候选孝恭 QH-P-000025。当时她是德妃，不是皇后。表用最终谥号称生母，不得倒写成康熙二十一年皇后。</x:v>
      </x:c>
    </x:row>
    <x:row r="108" ht="34" customHeight="1">
      <x:c r="A108" s="100" t="str">
        <x:v>QH-A-KX-0104</x:v>
      </x:c>
      <x:c r="B108" s="100" t="str">
        <x:v>文字或数值陈述</x:v>
      </x:c>
      <x:c r="C108" s="100" t="str">
        <x:v>QH-P-000110</x:v>
      </x:c>
      <x:c r="D108" s="100" t="str">
        <x:v>table_daughter_order</x:v>
      </x:c>
      <x:c r="E108" s="100" t="str">
        <x:v>圣祖第八女；未封</x:v>
      </x:c>
      <x:c r="F108" s="100" t="str">
        <x:v>康熙二十二年六月生，闰八月殇</x:v>
      </x:c>
      <x:c r="G108" s="108" t="str">
        <x:v>1683-01-27</x:v>
      </x:c>
      <x:c r="H108" s="108" t="str">
        <x:v>1684-02-14</x:v>
      </x:c>
      <x:c r="I108" s="100" t="str">
        <x:v>确定</x:v>
      </x:c>
      <x:c r="J108" s="100" t="str">
        <x:v>审核中</x:v>
      </x:c>
      <x:c r="K108" s="100" t="str">
        <x:v>QH-SU-QSG-0166</x:v>
      </x:c>
      <x:c r="L108" s="100" t="str">
        <x:v>卷166；圣祖第八女</x:v>
      </x:c>
      <x:c r="M108" s="100" t="str">
        <x:v>聖祖第八女　孝懿仁皇后生　未封　康熙二十二年六月生，閏八月殤</x:v>
      </x:c>
      <x:c r="N108" s="100" t="str">
        <x:v>支持</x:v>
      </x:c>
      <x:c r="O108" s="100" t="str">
        <x:v>明确记载</x:v>
      </x:c>
      <x:c r="P108" s="100" t="str">
        <x:v>中</x:v>
      </x:c>
      <x:c r="Q108" s="100" t="str">
        <x:v>QH-SF-QSG</x:v>
      </x:c>
      <x:c r="R108" s="100" t="str"/>
      <x:c r="S108" s="100" t="str">
        <x:v>结构化导入</x:v>
      </x:c>
      <x:c r="T108" s="100" t="str">
        <x:v>AI</x:v>
      </x:c>
      <x:c r="U108" s="100" t="str"/>
      <x:c r="V108" s="108" t="str"/>
      <x:c r="W108" s="100" t="str">
        <x:v>生母候选孝懿 QH-P-000024。生年在二十八年册后之前，当时不是皇后。</x:v>
      </x:c>
    </x:row>
    <x:row r="109" ht="34" customHeight="1">
      <x:c r="A109" s="100" t="str">
        <x:v>QH-A-KX-0105</x:v>
      </x:c>
      <x:c r="B109" s="100" t="str">
        <x:v>事件发生</x:v>
      </x:c>
      <x:c r="C109" s="100" t="str">
        <x:v>QH-P-000111</x:v>
      </x:c>
      <x:c r="D109" s="100" t="str">
        <x:v>invested_as_princess</x:v>
      </x:c>
      <x:c r="E109" s="100" t="str">
        <x:v>和硕温宪公主</x:v>
      </x:c>
      <x:c r="F109" s="100" t="str">
        <x:v>清史稿卷166第九女行（封号无年月）</x:v>
      </x:c>
      <x:c r="G109" s="108" t="str">
        <x:v>1683-01-27</x:v>
      </x:c>
      <x:c r="H109" s="108" t="str">
        <x:v>1702-01-27</x:v>
      </x:c>
      <x:c r="I109" s="100" t="str">
        <x:v>约略</x:v>
      </x:c>
      <x:c r="J109" s="100" t="str">
        <x:v>审核中</x:v>
      </x:c>
      <x:c r="K109" s="100" t="str">
        <x:v>QH-SU-QSG-0166</x:v>
      </x:c>
      <x:c r="L109" s="100" t="str">
        <x:v>卷166；圣祖第九女；封</x:v>
      </x:c>
      <x:c r="M109" s="100" t="str">
        <x:v>和碩溫憲公主。</x:v>
      </x:c>
      <x:c r="N109" s="100" t="str">
        <x:v>支持</x:v>
      </x:c>
      <x:c r="O109" s="100" t="str">
        <x:v>明确记载</x:v>
      </x:c>
      <x:c r="P109" s="100" t="str">
        <x:v>中</x:v>
      </x:c>
      <x:c r="Q109" s="100" t="str">
        <x:v>QH-SF-QSG</x:v>
      </x:c>
      <x:c r="R109" s="100" t="str"/>
      <x:c r="S109" s="100" t="str">
        <x:v>结构化导入</x:v>
      </x:c>
      <x:c r="T109" s="100" t="str">
        <x:v>AI</x:v>
      </x:c>
      <x:c r="U109" s="100" t="str"/>
      <x:c r="V109" s="108" t="str"/>
      <x:c r="W109" s="100" t="str">
        <x:v>康熙朝最高封号是和硕。追进固伦见另条。</x:v>
      </x:c>
    </x:row>
    <x:row r="110" ht="34" customHeight="1">
      <x:c r="A110" s="100" t="str">
        <x:v>QH-A-KX-0106</x:v>
      </x:c>
      <x:c r="B110" s="100" t="str">
        <x:v>事件发生</x:v>
      </x:c>
      <x:c r="C110" s="100" t="str">
        <x:v>QH-P-000111</x:v>
      </x:c>
      <x:c r="D110" s="100" t="str">
        <x:v>posthumously_advanced_as</x:v>
      </x:c>
      <x:c r="E110" s="100" t="str">
        <x:v>固伦温宪公主</x:v>
      </x:c>
      <x:c r="F110" s="100" t="str">
        <x:v>雍正元年</x:v>
      </x:c>
      <x:c r="G110" s="108" t="str">
        <x:v>1723-02-05</x:v>
      </x:c>
      <x:c r="H110" s="108" t="str">
        <x:v>1724-01-24</x:v>
      </x:c>
      <x:c r="I110" s="100" t="str">
        <x:v>约略</x:v>
      </x:c>
      <x:c r="J110" s="100" t="str">
        <x:v>审核中</x:v>
      </x:c>
      <x:c r="K110" s="100" t="str">
        <x:v>QH-SU-QSG-0166</x:v>
      </x:c>
      <x:c r="L110" s="100" t="str">
        <x:v>卷166；圣祖第九女；追进</x:v>
      </x:c>
      <x:c r="M110" s="100" t="str">
        <x:v>雍正元年，追進固倫溫憲公主</x:v>
      </x:c>
      <x:c r="N110" s="100" t="str">
        <x:v>支持</x:v>
      </x:c>
      <x:c r="O110" s="100" t="str">
        <x:v>明确记载</x:v>
      </x:c>
      <x:c r="P110" s="100" t="str">
        <x:v>中</x:v>
      </x:c>
      <x:c r="Q110" s="100" t="str">
        <x:v>QH-SF-QSG</x:v>
      </x:c>
      <x:c r="R110" s="100" t="str"/>
      <x:c r="S110" s="100" t="str">
        <x:v>结构化导入</x:v>
      </x:c>
      <x:c r="T110" s="100" t="str">
        <x:v>AI</x:v>
      </x:c>
      <x:c r="U110" s="100" t="str"/>
      <x:c r="V110" s="108" t="str"/>
      <x:c r="W110" s="100" t="str">
        <x:v>表文明写追进。第九女已于康熙四十一年七月薨。不得写成生前进固伦。</x:v>
      </x:c>
    </x:row>
    <x:row r="111" ht="34" customHeight="1">
      <x:c r="A111" s="100" t="str">
        <x:v>QH-A-KX-0107</x:v>
      </x:c>
      <x:c r="B111" s="100" t="str">
        <x:v>事件发生</x:v>
      </x:c>
      <x:c r="C111" s="100" t="str">
        <x:v>QH-P-000111</x:v>
      </x:c>
      <x:c r="D111" s="100" t="str">
        <x:v>married_to</x:v>
      </x:c>
      <x:c r="E111" s="100" t="str">
        <x:v>舜安颜</x:v>
      </x:c>
      <x:c r="F111" s="100" t="str">
        <x:v>康熙三十九年九月</x:v>
      </x:c>
      <x:c r="G111" s="108" t="str">
        <x:v>1700-02-19</x:v>
      </x:c>
      <x:c r="H111" s="108" t="str">
        <x:v>1701-02-07</x:v>
      </x:c>
      <x:c r="I111" s="100" t="str">
        <x:v>约略</x:v>
      </x:c>
      <x:c r="J111" s="100" t="str">
        <x:v>审核中</x:v>
      </x:c>
      <x:c r="K111" s="100" t="str">
        <x:v>QH-SU-QSG-0166</x:v>
      </x:c>
      <x:c r="L111" s="100" t="str">
        <x:v>卷166；圣祖第九女；下嫁</x:v>
      </x:c>
      <x:c r="M111" s="100" t="str">
        <x:v>康熙三十九年九月，下嫁舜安顏</x:v>
      </x:c>
      <x:c r="N111" s="100" t="str">
        <x:v>支持</x:v>
      </x:c>
      <x:c r="O111" s="100" t="str">
        <x:v>明确记载</x:v>
      </x:c>
      <x:c r="P111" s="100" t="str">
        <x:v>中</x:v>
      </x:c>
      <x:c r="Q111" s="100" t="str">
        <x:v>QH-SF-QSG</x:v>
      </x:c>
      <x:c r="R111" s="100" t="str"/>
      <x:c r="S111" s="100" t="str">
        <x:v>结构化导入</x:v>
      </x:c>
      <x:c r="T111" s="100" t="str">
        <x:v>AI</x:v>
      </x:c>
      <x:c r="U111" s="100" t="str"/>
      <x:c r="V111" s="108" t="str"/>
      <x:c r="W111" s="100" t="str">
        <x:v>额驸舜安颜，佟佳氏，佟国维孙。尚未建档。月份未换算到日。</x:v>
      </x:c>
    </x:row>
    <x:row r="112" ht="34" customHeight="1">
      <x:c r="A112" s="100" t="str">
        <x:v>QH-A-KX-0108</x:v>
      </x:c>
      <x:c r="B112" s="100" t="str">
        <x:v>文字或数值陈述</x:v>
      </x:c>
      <x:c r="C112" s="100" t="str">
        <x:v>QH-P-000111</x:v>
      </x:c>
      <x:c r="D112" s="100" t="str">
        <x:v>consort_title_stripped</x:v>
      </x:c>
      <x:c r="E112" s="100" t="str">
        <x:v>舜安颜削额驸</x:v>
      </x:c>
      <x:c r="F112" s="100" t="str">
        <x:v>康熙四十八年</x:v>
      </x:c>
      <x:c r="G112" s="108" t="str">
        <x:v>1709-02-10</x:v>
      </x:c>
      <x:c r="H112" s="108" t="str">
        <x:v>1710-01-29</x:v>
      </x:c>
      <x:c r="I112" s="100" t="str">
        <x:v>约略</x:v>
      </x:c>
      <x:c r="J112" s="100" t="str">
        <x:v>审核中</x:v>
      </x:c>
      <x:c r="K112" s="100" t="str">
        <x:v>QH-SU-QSG-0166</x:v>
      </x:c>
      <x:c r="L112" s="100" t="str">
        <x:v>卷166；圣祖第九女；额驸事略</x:v>
      </x:c>
      <x:c r="M112" s="100" t="str">
        <x:v>康熙四十八年，以黨附皇八子允禩削額駙，禁錮，後釋之。</x:v>
      </x:c>
      <x:c r="N112" s="100" t="str">
        <x:v>支持</x:v>
      </x:c>
      <x:c r="O112" s="100" t="str">
        <x:v>明确记载</x:v>
      </x:c>
      <x:c r="P112" s="100" t="str">
        <x:v>中</x:v>
      </x:c>
      <x:c r="Q112" s="100" t="str">
        <x:v>QH-SF-QSG</x:v>
      </x:c>
      <x:c r="R112" s="100" t="str"/>
      <x:c r="S112" s="100" t="str">
        <x:v>结构化导入</x:v>
      </x:c>
      <x:c r="T112" s="100" t="str">
        <x:v>AI</x:v>
      </x:c>
      <x:c r="U112" s="100" t="str"/>
      <x:c r="V112" s="108" t="str"/>
      <x:c r="W112" s="100" t="str">
        <x:v>这是公主表对额驸的事后记事。不得据此写成八爷党已证。允禩见 QH-P-000007。</x:v>
      </x:c>
    </x:row>
    <x:row r="113" ht="34" customHeight="1">
      <x:c r="A113" s="100" t="str">
        <x:v>QH-A-KX-0109</x:v>
      </x:c>
      <x:c r="B113" s="100" t="str">
        <x:v>事件发生</x:v>
      </x:c>
      <x:c r="C113" s="100" t="str">
        <x:v>QH-P-000112</x:v>
      </x:c>
      <x:c r="D113" s="100" t="str">
        <x:v>invested_as_princess</x:v>
      </x:c>
      <x:c r="E113" s="100" t="str">
        <x:v>和硕纯悫公主</x:v>
      </x:c>
      <x:c r="F113" s="100" t="str">
        <x:v>清史稿卷166第十女行（封号无年月）</x:v>
      </x:c>
      <x:c r="G113" s="108" t="str">
        <x:v>1685-02-03</x:v>
      </x:c>
      <x:c r="H113" s="108" t="str">
        <x:v>1710-01-29</x:v>
      </x:c>
      <x:c r="I113" s="100" t="str">
        <x:v>约略</x:v>
      </x:c>
      <x:c r="J113" s="100" t="str">
        <x:v>审核中</x:v>
      </x:c>
      <x:c r="K113" s="100" t="str">
        <x:v>QH-SU-QSG-0166</x:v>
      </x:c>
      <x:c r="L113" s="100" t="str">
        <x:v>卷166；圣祖第十女；封</x:v>
      </x:c>
      <x:c r="M113" s="100" t="str">
        <x:v>和碩純愨公主。</x:v>
      </x:c>
      <x:c r="N113" s="100" t="str">
        <x:v>支持</x:v>
      </x:c>
      <x:c r="O113" s="100" t="str">
        <x:v>明确记载</x:v>
      </x:c>
      <x:c r="P113" s="100" t="str">
        <x:v>中</x:v>
      </x:c>
      <x:c r="Q113" s="100" t="str">
        <x:v>QH-SF-QSG</x:v>
      </x:c>
      <x:c r="R113" s="100" t="str"/>
      <x:c r="S113" s="100" t="str">
        <x:v>结构化导入</x:v>
      </x:c>
      <x:c r="T113" s="100" t="str">
        <x:v>AI</x:v>
      </x:c>
      <x:c r="U113" s="100" t="str"/>
      <x:c r="V113" s="108" t="str"/>
      <x:c r="W113" s="100" t="str">
        <x:v>通嫔纳喇氏尚未建档。追进固伦见另条。</x:v>
      </x:c>
    </x:row>
    <x:row r="114" ht="34" customHeight="1">
      <x:c r="A114" s="100" t="str">
        <x:v>QH-A-KX-0110</x:v>
      </x:c>
      <x:c r="B114" s="100" t="str">
        <x:v>事件发生</x:v>
      </x:c>
      <x:c r="C114" s="100" t="str">
        <x:v>QH-P-000112</x:v>
      </x:c>
      <x:c r="D114" s="100" t="str">
        <x:v>posthumously_advanced_as</x:v>
      </x:c>
      <x:c r="E114" s="100" t="str">
        <x:v>固伦纯悫公主</x:v>
      </x:c>
      <x:c r="F114" s="100" t="str">
        <x:v>雍正十年</x:v>
      </x:c>
      <x:c r="G114" s="108" t="str">
        <x:v>1732-01-27</x:v>
      </x:c>
      <x:c r="H114" s="108" t="str">
        <x:v>1733-02-13</x:v>
      </x:c>
      <x:c r="I114" s="100" t="str">
        <x:v>约略</x:v>
      </x:c>
      <x:c r="J114" s="100" t="str">
        <x:v>审核中</x:v>
      </x:c>
      <x:c r="K114" s="100" t="str">
        <x:v>QH-SU-QSG-0166</x:v>
      </x:c>
      <x:c r="L114" s="100" t="str">
        <x:v>卷166；圣祖第十女；追进</x:v>
      </x:c>
      <x:c r="M114" s="100" t="str">
        <x:v>雍正十年，追進封固倫純愨公主</x:v>
      </x:c>
      <x:c r="N114" s="100" t="str">
        <x:v>支持</x:v>
      </x:c>
      <x:c r="O114" s="100" t="str">
        <x:v>明确记载</x:v>
      </x:c>
      <x:c r="P114" s="100" t="str">
        <x:v>中</x:v>
      </x:c>
      <x:c r="Q114" s="100" t="str">
        <x:v>QH-SF-QSG</x:v>
      </x:c>
      <x:c r="R114" s="100" t="str"/>
      <x:c r="S114" s="100" t="str">
        <x:v>结构化导入</x:v>
      </x:c>
      <x:c r="T114" s="100" t="str">
        <x:v>AI</x:v>
      </x:c>
      <x:c r="U114" s="100" t="str"/>
      <x:c r="V114" s="108" t="str"/>
      <x:c r="W114" s="100" t="str">
        <x:v>第十女已于康熙四十九年三月薨。追进不得写成生前进封。</x:v>
      </x:c>
    </x:row>
    <x:row r="115" ht="34" customHeight="1">
      <x:c r="A115" s="100" t="str">
        <x:v>QH-A-KX-0111</x:v>
      </x:c>
      <x:c r="B115" s="100" t="str">
        <x:v>事件发生</x:v>
      </x:c>
      <x:c r="C115" s="100" t="str">
        <x:v>QH-P-000112</x:v>
      </x:c>
      <x:c r="D115" s="100" t="str">
        <x:v>married_to</x:v>
      </x:c>
      <x:c r="E115" s="100" t="str">
        <x:v>策棱</x:v>
      </x:c>
      <x:c r="F115" s="100" t="str">
        <x:v>康熙四十五年五月</x:v>
      </x:c>
      <x:c r="G115" s="108" t="str">
        <x:v>1706-02-13</x:v>
      </x:c>
      <x:c r="H115" s="108" t="str">
        <x:v>1707-02-02</x:v>
      </x:c>
      <x:c r="I115" s="100" t="str">
        <x:v>约略</x:v>
      </x:c>
      <x:c r="J115" s="100" t="str">
        <x:v>审核中</x:v>
      </x:c>
      <x:c r="K115" s="100" t="str">
        <x:v>QH-SU-QSG-0166</x:v>
      </x:c>
      <x:c r="L115" s="100" t="str">
        <x:v>卷166；圣祖第十女；下嫁</x:v>
      </x:c>
      <x:c r="M115" s="100" t="str">
        <x:v>康熙四十五年五月，下嫁策棱</x:v>
      </x:c>
      <x:c r="N115" s="100" t="str">
        <x:v>支持</x:v>
      </x:c>
      <x:c r="O115" s="100" t="str">
        <x:v>明确记载</x:v>
      </x:c>
      <x:c r="P115" s="100" t="str">
        <x:v>中</x:v>
      </x:c>
      <x:c r="Q115" s="100" t="str">
        <x:v>QH-SF-QSG</x:v>
      </x:c>
      <x:c r="R115" s="100" t="str"/>
      <x:c r="S115" s="100" t="str">
        <x:v>结构化导入</x:v>
      </x:c>
      <x:c r="T115" s="100" t="str">
        <x:v>AI</x:v>
      </x:c>
      <x:c r="U115" s="100" t="str"/>
      <x:c r="V115" s="108" t="str"/>
      <x:c r="W115" s="100" t="str">
        <x:v>表作策棱，有传。是否即超勇亲王策凌，不自动合并。</x:v>
      </x:c>
    </x:row>
    <x:row r="116" ht="34" customHeight="1">
      <x:c r="A116" s="100" t="str">
        <x:v>QH-A-KX-0112</x:v>
      </x:c>
      <x:c r="B116" s="100" t="str">
        <x:v>文字或数值陈述</x:v>
      </x:c>
      <x:c r="C116" s="100" t="str">
        <x:v>QH-P-000114</x:v>
      </x:c>
      <x:c r="D116" s="100" t="str">
        <x:v>table_daughter_order</x:v>
      </x:c>
      <x:c r="E116" s="100" t="str">
        <x:v>圣祖第十二女；未封</x:v>
      </x:c>
      <x:c r="F116" s="100" t="str">
        <x:v>康熙二十五年闰四月生，三十六年闰三月殇</x:v>
      </x:c>
      <x:c r="G116" s="108" t="str">
        <x:v>1686-01-24</x:v>
      </x:c>
      <x:c r="H116" s="108" t="str">
        <x:v>1698-02-10</x:v>
      </x:c>
      <x:c r="I116" s="100" t="str">
        <x:v>确定</x:v>
      </x:c>
      <x:c r="J116" s="100" t="str">
        <x:v>审核中</x:v>
      </x:c>
      <x:c r="K116" s="100" t="str">
        <x:v>QH-SU-QSG-0166</x:v>
      </x:c>
      <x:c r="L116" s="100" t="str">
        <x:v>卷166；圣祖第十二女</x:v>
      </x:c>
      <x:c r="M116" s="100" t="str">
        <x:v>聖祖第十二女　孝恭仁皇后生　未封　康熙二十五年閏四月生，三十六年閏三月殤</x:v>
      </x:c>
      <x:c r="N116" s="100" t="str">
        <x:v>支持</x:v>
      </x:c>
      <x:c r="O116" s="100" t="str">
        <x:v>明确记载</x:v>
      </x:c>
      <x:c r="P116" s="100" t="str">
        <x:v>中</x:v>
      </x:c>
      <x:c r="Q116" s="100" t="str">
        <x:v>QH-SF-QSG</x:v>
      </x:c>
      <x:c r="R116" s="100" t="str"/>
      <x:c r="S116" s="100" t="str">
        <x:v>结构化导入</x:v>
      </x:c>
      <x:c r="T116" s="100" t="str">
        <x:v>AI</x:v>
      </x:c>
      <x:c r="U116" s="100" t="str"/>
      <x:c r="V116" s="108" t="str"/>
      <x:c r="W116" s="100" t="str">
        <x:v>未封而约十一岁殇，不是月内殇。生母候选孝恭，当时是德妃。公历用生年至殇年两个年号起迄。</x:v>
      </x:c>
    </x:row>
    <x:row r="117" ht="34" customHeight="1">
      <x:c r="A117" s="100" t="str">
        <x:v>QH-A-KX-0113</x:v>
      </x:c>
      <x:c r="B117" s="100" t="str">
        <x:v>事件发生</x:v>
      </x:c>
      <x:c r="C117" s="100" t="str">
        <x:v>QH-P-000115</x:v>
      </x:c>
      <x:c r="D117" s="100" t="str">
        <x:v>invested_as_princess</x:v>
      </x:c>
      <x:c r="E117" s="100" t="str">
        <x:v>和硕温恪公主</x:v>
      </x:c>
      <x:c r="F117" s="100" t="str">
        <x:v>清史稿卷166第十三女行（封号无年月）</x:v>
      </x:c>
      <x:c r="G117" s="108" t="str">
        <x:v>1687-02-12</x:v>
      </x:c>
      <x:c r="H117" s="108" t="str">
        <x:v>1709-02-09</x:v>
      </x:c>
      <x:c r="I117" s="100" t="str">
        <x:v>约略</x:v>
      </x:c>
      <x:c r="J117" s="100" t="str">
        <x:v>审核中</x:v>
      </x:c>
      <x:c r="K117" s="100" t="str">
        <x:v>QH-SU-QSG-0166</x:v>
      </x:c>
      <x:c r="L117" s="100" t="str">
        <x:v>卷166；圣祖第十三女；封</x:v>
      </x:c>
      <x:c r="M117" s="100" t="str">
        <x:v>和碩溫恪公主</x:v>
      </x:c>
      <x:c r="N117" s="100" t="str">
        <x:v>支持</x:v>
      </x:c>
      <x:c r="O117" s="100" t="str">
        <x:v>明确记载</x:v>
      </x:c>
      <x:c r="P117" s="100" t="str">
        <x:v>中</x:v>
      </x:c>
      <x:c r="Q117" s="100" t="str">
        <x:v>QH-SF-QSG</x:v>
      </x:c>
      <x:c r="R117" s="100" t="str"/>
      <x:c r="S117" s="100" t="str">
        <x:v>结构化导入</x:v>
      </x:c>
      <x:c r="T117" s="100" t="str">
        <x:v>AI</x:v>
      </x:c>
      <x:c r="U117" s="100" t="str"/>
      <x:c r="V117" s="108" t="str"/>
      <x:c r="W117" s="100" t="str">
        <x:v>敬敏皇贵妃章佳氏所出。额驸仓津初名班第，与抚育女纯禧额驸班第不是同一人。</x:v>
      </x:c>
    </x:row>
    <x:row r="118" ht="34" customHeight="1">
      <x:c r="A118" s="100" t="str">
        <x:v>QH-A-KX-0114</x:v>
      </x:c>
      <x:c r="B118" s="100" t="str">
        <x:v>事件发生</x:v>
      </x:c>
      <x:c r="C118" s="100" t="str">
        <x:v>QH-P-000116</x:v>
      </x:c>
      <x:c r="D118" s="100" t="str">
        <x:v>married_to</x:v>
      </x:c>
      <x:c r="E118" s="100" t="str">
        <x:v>孙承运</x:v>
      </x:c>
      <x:c r="F118" s="100" t="str">
        <x:v>康熙四十五年</x:v>
      </x:c>
      <x:c r="G118" s="108" t="str">
        <x:v>1706-02-13</x:v>
      </x:c>
      <x:c r="H118" s="108" t="str">
        <x:v>1707-02-02</x:v>
      </x:c>
      <x:c r="I118" s="100" t="str">
        <x:v>约略</x:v>
      </x:c>
      <x:c r="J118" s="100" t="str">
        <x:v>审核中</x:v>
      </x:c>
      <x:c r="K118" s="100" t="str">
        <x:v>QH-SU-QSG-0166</x:v>
      </x:c>
      <x:c r="L118" s="100" t="str">
        <x:v>卷166；圣祖第十四女；下嫁</x:v>
      </x:c>
      <x:c r="M118" s="100" t="str">
        <x:v>康熙四十五年，下嫁孫承運</x:v>
      </x:c>
      <x:c r="N118" s="100" t="str">
        <x:v>支持</x:v>
      </x:c>
      <x:c r="O118" s="100" t="str">
        <x:v>明确记载</x:v>
      </x:c>
      <x:c r="P118" s="100" t="str">
        <x:v>中</x:v>
      </x:c>
      <x:c r="Q118" s="100" t="str">
        <x:v>QH-SF-QSG</x:v>
      </x:c>
      <x:c r="R118" s="100" t="str"/>
      <x:c r="S118" s="100" t="str">
        <x:v>结构化导入</x:v>
      </x:c>
      <x:c r="T118" s="100" t="str">
        <x:v>AI</x:v>
      </x:c>
      <x:c r="U118" s="100" t="str"/>
      <x:c r="V118" s="108" t="str"/>
      <x:c r="W118" s="100" t="str">
        <x:v>只到年。额驸为汉人孙承运，甘肃提督思克子。尚未建档。</x:v>
      </x:c>
    </x:row>
    <x:row r="119" ht="34" customHeight="1">
      <x:c r="A119" s="100" t="str">
        <x:v>QH-A-KX-0115</x:v>
      </x:c>
      <x:c r="B119" s="100" t="str">
        <x:v>事件发生</x:v>
      </x:c>
      <x:c r="C119" s="100" t="str">
        <x:v>QH-P-000117</x:v>
      </x:c>
      <x:c r="D119" s="100" t="str">
        <x:v>invested_as_princess</x:v>
      </x:c>
      <x:c r="E119" s="100" t="str">
        <x:v>和硕敦恪公主</x:v>
      </x:c>
      <x:c r="F119" s="100" t="str">
        <x:v>清史稿卷166第十五女行（封号无年月）</x:v>
      </x:c>
      <x:c r="G119" s="108" t="str">
        <x:v>1691-01-29</x:v>
      </x:c>
      <x:c r="H119" s="108" t="str">
        <x:v>1709-02-09</x:v>
      </x:c>
      <x:c r="I119" s="100" t="str">
        <x:v>约略</x:v>
      </x:c>
      <x:c r="J119" s="100" t="str">
        <x:v>审核中</x:v>
      </x:c>
      <x:c r="K119" s="100" t="str">
        <x:v>QH-SU-QSG-0166</x:v>
      </x:c>
      <x:c r="L119" s="100" t="str">
        <x:v>卷166；圣祖第十五女；封</x:v>
      </x:c>
      <x:c r="M119" s="100" t="str">
        <x:v>和碩敦恪公主</x:v>
      </x:c>
      <x:c r="N119" s="100" t="str">
        <x:v>支持</x:v>
      </x:c>
      <x:c r="O119" s="100" t="str">
        <x:v>明确记载</x:v>
      </x:c>
      <x:c r="P119" s="100" t="str">
        <x:v>中</x:v>
      </x:c>
      <x:c r="Q119" s="100" t="str">
        <x:v>QH-SF-QSG</x:v>
      </x:c>
      <x:c r="R119" s="100" t="str"/>
      <x:c r="S119" s="100" t="str">
        <x:v>结构化导入</x:v>
      </x:c>
      <x:c r="T119" s="100" t="str">
        <x:v>AI</x:v>
      </x:c>
      <x:c r="U119" s="100" t="str"/>
      <x:c r="V119" s="108" t="str"/>
      <x:c r="W119" s="100" t="str">
        <x:v>与第十三女同母候选敬敏。本表未记进固伦。</x:v>
      </x:c>
    </x:row>
    <x:row r="120" ht="34" customHeight="1">
      <x:c r="A120" s="100" t="str">
        <x:v>QH-A-KX-0116</x:v>
      </x:c>
      <x:c r="B120" s="100" t="str">
        <x:v>人物关系</x:v>
      </x:c>
      <x:c r="C120" s="100" t="str">
        <x:v>QH-P-000123</x:v>
      </x:c>
      <x:c r="D120" s="100" t="str">
        <x:v>fostered_not_begotten</x:v>
      </x:c>
      <x:c r="E120" s="100" t="str">
        <x:v>恭亲王常宁第一女；非圣祖所出</x:v>
      </x:c>
      <x:c r="F120" s="100" t="str">
        <x:v>清史稿卷166抚育行</x:v>
      </x:c>
      <x:c r="G120" s="108" t="str">
        <x:v>1671-02-09</x:v>
      </x:c>
      <x:c r="H120" s="108" t="str">
        <x:v>1742-02-04</x:v>
      </x:c>
      <x:c r="I120" s="100" t="str">
        <x:v>确定</x:v>
      </x:c>
      <x:c r="J120" s="100" t="str">
        <x:v>审核中</x:v>
      </x:c>
      <x:c r="K120" s="100" t="str">
        <x:v>QH-SU-QSG-0166</x:v>
      </x:c>
      <x:c r="L120" s="100" t="str">
        <x:v>卷166；圣祖抚弟恭亲王常宁第一女</x:v>
      </x:c>
      <x:c r="M120" s="100" t="str">
        <x:v>聖祖撫弟恭親王常寧第一女</x:v>
      </x:c>
      <x:c r="N120" s="100" t="str">
        <x:v>支持</x:v>
      </x:c>
      <x:c r="O120" s="100" t="str">
        <x:v>明确记载</x:v>
      </x:c>
      <x:c r="P120" s="100" t="str">
        <x:v>中</x:v>
      </x:c>
      <x:c r="Q120" s="100" t="str">
        <x:v>QH-SF-QSG</x:v>
      </x:c>
      <x:c r="R120" s="100" t="str"/>
      <x:c r="S120" s="100" t="str">
        <x:v>结构化导入</x:v>
      </x:c>
      <x:c r="T120" s="100" t="str">
        <x:v>AI</x:v>
      </x:c>
      <x:c r="U120" s="100" t="str"/>
      <x:c r="V120" s="108" t="str"/>
      <x:c r="W120" s="100" t="str">
        <x:v>抚育女。不得计入圣祖亲生二十女，也不得写成第二十一女。生父常宁尚未建档。公历用表内生薨年所在年号起迄。</x:v>
      </x:c>
    </x:row>
    <x:row r="121" ht="34" customHeight="1">
      <x:c r="A121" s="100" t="str">
        <x:v>QH-A-KX-0117</x:v>
      </x:c>
      <x:c r="B121" s="100" t="str">
        <x:v>事件发生</x:v>
      </x:c>
      <x:c r="C121" s="100" t="str">
        <x:v>QH-P-000123</x:v>
      </x:c>
      <x:c r="D121" s="100" t="str">
        <x:v>advanced_as_princess</x:v>
      </x:c>
      <x:c r="E121" s="100" t="str">
        <x:v>固伦纯禧公主</x:v>
      </x:c>
      <x:c r="F121" s="100" t="str">
        <x:v>雍正元年</x:v>
      </x:c>
      <x:c r="G121" s="108" t="str">
        <x:v>1723-02-05</x:v>
      </x:c>
      <x:c r="H121" s="108" t="str">
        <x:v>1724-01-24</x:v>
      </x:c>
      <x:c r="I121" s="100" t="str">
        <x:v>约略</x:v>
      </x:c>
      <x:c r="J121" s="100" t="str">
        <x:v>审核中</x:v>
      </x:c>
      <x:c r="K121" s="100" t="str">
        <x:v>QH-SU-QSG-0166</x:v>
      </x:c>
      <x:c r="L121" s="100" t="str">
        <x:v>卷166；抚育行；进封</x:v>
      </x:c>
      <x:c r="M121" s="100" t="str">
        <x:v>雍正元年，進封固倫純禧公主</x:v>
      </x:c>
      <x:c r="N121" s="100" t="str">
        <x:v>支持</x:v>
      </x:c>
      <x:c r="O121" s="100" t="str">
        <x:v>明确记载</x:v>
      </x:c>
      <x:c r="P121" s="100" t="str">
        <x:v>中</x:v>
      </x:c>
      <x:c r="Q121" s="100" t="str">
        <x:v>QH-SF-QSG</x:v>
      </x:c>
      <x:c r="R121" s="100" t="str"/>
      <x:c r="S121" s="100" t="str">
        <x:v>结构化导入</x:v>
      </x:c>
      <x:c r="T121" s="100" t="str">
        <x:v>AI</x:v>
      </x:c>
      <x:c r="U121" s="100" t="str"/>
      <x:c r="V121" s="108" t="str"/>
      <x:c r="W121" s="100" t="str">
        <x:v>初封和硕纯禧。固伦是雍正元年进封。额驸班第与仓津初名班第分人。</x:v>
      </x:c>
    </x:row>
    <x:row r="122" ht="34" customHeight="1">
      <x:c r="A122" s="100" t="str">
        <x:v>QH-A-KX-0118</x:v>
      </x:c>
      <x:c r="B122" s="100" t="str">
        <x:v>文字或数值陈述</x:v>
      </x:c>
      <x:c r="C122" s="100" t="str">
        <x:v>QH-P-000001</x:v>
      </x:c>
      <x:c r="D122" s="100" t="str">
        <x:v>unsealed_daughter_count</x:v>
      </x:c>
      <x:c r="E122" s="100" t="str">
        <x:v>卷166圣祖亲生女未封十二人</x:v>
      </x:c>
      <x:c r="F122" s="100" t="str">
        <x:v>清史稿卷166公主表圣祖系</x:v>
      </x:c>
      <x:c r="G122" s="108" t="str">
        <x:v>1668-02-12</x:v>
      </x:c>
      <x:c r="H122" s="108" t="str">
        <x:v>1709-02-09</x:v>
      </x:c>
      <x:c r="I122" s="100" t="str">
        <x:v>约略</x:v>
      </x:c>
      <x:c r="J122" s="100" t="str">
        <x:v>审核中</x:v>
      </x:c>
      <x:c r="K122" s="100" t="str">
        <x:v>QH-SU-QSG-0166</x:v>
      </x:c>
      <x:c r="L122" s="100" t="str">
        <x:v>卷166；第一、二、四、七、八、十一、十二、十六至二十女</x:v>
      </x:c>
      <x:c r="M122" s="100" t="str">
        <x:v>未封</x:v>
      </x:c>
      <x:c r="N122" s="100" t="str">
        <x:v>支持</x:v>
      </x:c>
      <x:c r="O122" s="100" t="str">
        <x:v>推定</x:v>
      </x:c>
      <x:c r="P122" s="100" t="str">
        <x:v>中</x:v>
      </x:c>
      <x:c r="Q122" s="100" t="str">
        <x:v>QH-SF-QSG</x:v>
      </x:c>
      <x:c r="R122" s="100" t="str"/>
      <x:c r="S122" s="100" t="str">
        <x:v>结构化导入</x:v>
      </x:c>
      <x:c r="T122" s="100" t="str">
        <x:v>AI</x:v>
      </x:c>
      <x:c r="U122" s="100" t="str"/>
      <x:c r="V122" s="108" t="str"/>
      <x:c r="W122" s="100" t="str">
        <x:v>二十人中封和硕或固伦者八人，未封十二人。抚育女纯禧另计。未封不等于未入此表。</x:v>
      </x:c>
    </x:row>
    <x:row r="123" ht="34" customHeight="1">
      <x:c r="A123" s="100" t="str">
        <x:v>QH-A-KX-0119</x:v>
      </x:c>
      <x:c r="B123" s="100" t="str">
        <x:v>文字或数值陈述</x:v>
      </x:c>
      <x:c r="C123" s="100" t="str">
        <x:v>QH-P-000104</x:v>
      </x:c>
      <x:c r="D123" s="100" t="str">
        <x:v>table_daughter_order</x:v>
      </x:c>
      <x:c r="E123" s="100" t="str">
        <x:v>圣祖第一女；未封</x:v>
      </x:c>
      <x:c r="F123" s="100" t="str">
        <x:v>康熙七年十一月生，十年十一月殇</x:v>
      </x:c>
      <x:c r="G123" s="108" t="str">
        <x:v>1668-02-12</x:v>
      </x:c>
      <x:c r="H123" s="108" t="str">
        <x:v>1672-01-28</x:v>
      </x:c>
      <x:c r="I123" s="100" t="str">
        <x:v>确定</x:v>
      </x:c>
      <x:c r="J123" s="100" t="str">
        <x:v>审核中</x:v>
      </x:c>
      <x:c r="K123" s="100" t="str">
        <x:v>QH-SU-QSG-0166</x:v>
      </x:c>
      <x:c r="L123" s="100" t="str">
        <x:v>卷166；圣祖第一女</x:v>
      </x:c>
      <x:c r="M123" s="100" t="str">
        <x:v>聖祖第一女　庶妃張氏生　未封　康熙七年十一月生，十年十一月殤</x:v>
      </x:c>
      <x:c r="N123" s="100" t="str">
        <x:v>支持</x:v>
      </x:c>
      <x:c r="O123" s="100" t="str">
        <x:v>明确记载</x:v>
      </x:c>
      <x:c r="P123" s="100" t="str">
        <x:v>中</x:v>
      </x:c>
      <x:c r="Q123" s="100" t="str">
        <x:v>QH-SF-QSG</x:v>
      </x:c>
      <x:c r="R123" s="100" t="str"/>
      <x:c r="S123" s="100" t="str">
        <x:v>结构化导入</x:v>
      </x:c>
      <x:c r="T123" s="100" t="str">
        <x:v>AI</x:v>
      </x:c>
      <x:c r="U123" s="100" t="str"/>
      <x:c r="V123" s="108" t="str"/>
      <x:c r="W123" s="100" t="str">
        <x:v>表序第一女。庶妃张氏尚未建档。与第四女同母候选，不合并为一人。</x:v>
      </x:c>
    </x:row>
    <x:row r="124" ht="34" customHeight="1">
      <x:c r="A124" s="100" t="str">
        <x:v>QH-A-KX-0120</x:v>
      </x:c>
      <x:c r="B124" s="100" t="str">
        <x:v>文字或数值陈述</x:v>
      </x:c>
      <x:c r="C124" s="100" t="str">
        <x:v>QH-P-000108</x:v>
      </x:c>
      <x:c r="D124" s="100" t="str">
        <x:v>table_daughter_order</x:v>
      </x:c>
      <x:c r="E124" s="100" t="str">
        <x:v>圣祖第六女</x:v>
      </x:c>
      <x:c r="F124" s="100" t="str">
        <x:v>清史稿卷166第六女行</x:v>
      </x:c>
      <x:c r="G124" s="108" t="str">
        <x:v>1679-02-11</x:v>
      </x:c>
      <x:c r="H124" s="108" t="str">
        <x:v>1736-02-11</x:v>
      </x:c>
      <x:c r="I124" s="100" t="str">
        <x:v>确定</x:v>
      </x:c>
      <x:c r="J124" s="100" t="str">
        <x:v>审核中</x:v>
      </x:c>
      <x:c r="K124" s="100" t="str">
        <x:v>QH-SU-QSG-0166</x:v>
      </x:c>
      <x:c r="L124" s="100" t="str">
        <x:v>卷166；圣祖第六女</x:v>
      </x:c>
      <x:c r="M124" s="100" t="str">
        <x:v>聖祖第六女　貴人郭絡羅氏生</x:v>
      </x:c>
      <x:c r="N124" s="100" t="str">
        <x:v>支持</x:v>
      </x:c>
      <x:c r="O124" s="100" t="str">
        <x:v>明确记载</x:v>
      </x:c>
      <x:c r="P124" s="100" t="str">
        <x:v>中</x:v>
      </x:c>
      <x:c r="Q124" s="100" t="str">
        <x:v>QH-SF-QSG</x:v>
      </x:c>
      <x:c r="R124" s="100" t="str"/>
      <x:c r="S124" s="100" t="str">
        <x:v>结构化导入</x:v>
      </x:c>
      <x:c r="T124" s="100" t="str">
        <x:v>AI</x:v>
      </x:c>
      <x:c r="U124" s="100" t="str"/>
      <x:c r="V124" s="108" t="str"/>
      <x:c r="W124" s="100" t="str">
        <x:v>生母候选贵人郭络罗氏。宜妃亦郭络罗氏（QH-P-000028），同姓不自动合并。</x:v>
      </x:c>
    </x:row>
    <x:row r="125" ht="34" customHeight="1">
      <x:c r="A125" s="100" t="str">
        <x:v>QH-A-KX-0121</x:v>
      </x:c>
      <x:c r="B125" s="100" t="str">
        <x:v>事件发生</x:v>
      </x:c>
      <x:c r="C125" s="100" t="str">
        <x:v>QH-P-000004</x:v>
      </x:c>
      <x:c r="D125" s="100" t="str">
        <x:v>invested_as_heir</x:v>
      </x:c>
      <x:c r="E125" s="100" t="str">
        <x:v>皇太子</x:v>
      </x:c>
      <x:c r="F125" s="100" t="str">
        <x:v>康熙十四年十二月十三日</x:v>
      </x:c>
      <x:c r="G125" s="108" t="str">
        <x:v>1676-01-27</x:v>
      </x:c>
      <x:c r="H125" s="108" t="str">
        <x:v>1676-01-27</x:v>
      </x:c>
      <x:c r="I125" s="100" t="str">
        <x:v>确定</x:v>
      </x:c>
      <x:c r="J125" s="100" t="str">
        <x:v>审核中</x:v>
      </x:c>
      <x:c r="K125" s="100" t="str">
        <x:v>QH-SU-KX-0058A</x:v>
      </x:c>
      <x:c r="L125" s="100" t="str">
        <x:v>卷58；康熙十四年十二月十三日；1/2</x:v>
      </x:c>
      <x:c r="M125" s="100" t="str">
        <x:v>是日、立皇子允礽、為皇太子。</x:v>
      </x:c>
      <x:c r="N125" s="100" t="str">
        <x:v>支持</x:v>
      </x:c>
      <x:c r="O125" s="100" t="str">
        <x:v>明确记载</x:v>
      </x:c>
      <x:c r="P125" s="100" t="str">
        <x:v>强</x:v>
      </x:c>
      <x:c r="Q125" s="100" t="str">
        <x:v>QH-SF-QSL-KX</x:v>
      </x:c>
      <x:c r="R125" s="100" t="str">
        <x:v>QH-CF-KX-INVEST-DAY</x:v>
      </x:c>
      <x:c r="S125" s="100" t="str">
        <x:v>结构化导入</x:v>
      </x:c>
      <x:c r="T125" s="100" t="str">
        <x:v>AI</x:v>
      </x:c>
      <x:c r="U125" s="100" t="str">
        <x:v>zonglinxie-cyber</x:v>
      </x:c>
      <x:c r="V125" s="108" t="str">
        <x:v>2026-08-15</x:v>
      </x:c>
      <x:c r="W125" s="100" t="str">
        <x:v>实录与本纪均作丙寅；列传乙丑为另一源。实录条只记册立仪，未记颁诏肆赦。公历依通行年表，待历法库复核。立太子属承嗣高风险命题；清史稿与实录同祖不构成独立来源，双来源家族门禁通电后撤回采纳。</x:v>
      </x:c>
    </x:row>
    <x:row r="126" ht="34" customHeight="1">
      <x:c r="A126" s="100" t="str">
        <x:v>QH-A-KX-0122</x:v>
      </x:c>
      <x:c r="B126" s="100" t="str">
        <x:v>事件发生</x:v>
      </x:c>
      <x:c r="C126" s="100" t="str">
        <x:v>QH-P-000004</x:v>
      </x:c>
      <x:c r="D126" s="100" t="str">
        <x:v>arrested_as_heir</x:v>
      </x:c>
      <x:c r="E126" s="100" t="str">
        <x:v>拘執看守</x:v>
      </x:c>
      <x:c r="F126" s="100" t="str">
        <x:v>康熙五十一年九月三十日</x:v>
      </x:c>
      <x:c r="G126" s="108" t="str">
        <x:v>1712-10-29</x:v>
      </x:c>
      <x:c r="H126" s="108" t="str">
        <x:v>1712-10-29</x:v>
      </x:c>
      <x:c r="I126" s="100" t="str">
        <x:v>确定</x:v>
      </x:c>
      <x:c r="J126" s="100" t="str">
        <x:v>审核中</x:v>
      </x:c>
      <x:c r="K126" s="100" t="str">
        <x:v>QH-SU-KX-0251A</x:v>
      </x:c>
      <x:c r="L126" s="100" t="str">
        <x:v>卷251；康熙五十一年九月三十日；2/2</x:v>
      </x:c>
      <x:c r="M126" s="100" t="str">
        <x:v>諭諸皇子等、皇太子允礽、自復立以來、狂疾未除。大失人心。……著將允礽拘執看守。朕明日再頒諭旨、示諸王大臣。</x:v>
      </x:c>
      <x:c r="N126" s="100" t="str">
        <x:v>支持</x:v>
      </x:c>
      <x:c r="O126" s="100" t="str">
        <x:v>明确记载</x:v>
      </x:c>
      <x:c r="P126" s="100" t="str">
        <x:v>强</x:v>
      </x:c>
      <x:c r="Q126" s="100" t="str">
        <x:v>QH-SF-QSL-KX</x:v>
      </x:c>
      <x:c r="R126" s="100" t="str">
        <x:v>QH-CF-KX-DEPOSE2-MONTH</x:v>
      </x:c>
      <x:c r="S126" s="100" t="str">
        <x:v>结构化导入</x:v>
      </x:c>
      <x:c r="T126" s="100" t="str">
        <x:v>AI</x:v>
      </x:c>
      <x:c r="U126" s="100" t="str">
        <x:v>zonglinxie-cyber</x:v>
      </x:c>
      <x:c r="V126" s="108" t="str">
        <x:v>2026-08-15</x:v>
      </x:c>
      <x:c r="W126" s="100" t="str">
        <x:v>本条只记拘执看守，未记废字，未写咸安宫。本纪九月庚戌对应本条。狂疾只记为用语。明日指十月初一辛亥，见QH-A-KX-0123。公历依通行年表，待历法库复核。拘执废太子属承嗣高风险命题；目前仅实录家族，双来源家族门禁通电后撤回采纳。</x:v>
      </x:c>
    </x:row>
    <x:row r="127" ht="34" customHeight="1">
      <x:c r="A127" s="100" t="str">
        <x:v>QH-A-KX-0123</x:v>
      </x:c>
      <x:c r="B127" s="100" t="str">
        <x:v>事件发生</x:v>
      </x:c>
      <x:c r="C127" s="100" t="str">
        <x:v>QH-P-000004</x:v>
      </x:c>
      <x:c r="D127" s="100" t="str">
        <x:v>deposed_as_heir</x:v>
      </x:c>
      <x:c r="E127" s="100" t="str">
        <x:v>仍行廢黜禁錮</x:v>
      </x:c>
      <x:c r="F127" s="100" t="str">
        <x:v>康熙五十一年十月初一日</x:v>
      </x:c>
      <x:c r="G127" s="108" t="str">
        <x:v>1712-10-30</x:v>
      </x:c>
      <x:c r="H127" s="108" t="str">
        <x:v>1712-10-30</x:v>
      </x:c>
      <x:c r="I127" s="100" t="str">
        <x:v>确定</x:v>
      </x:c>
      <x:c r="J127" s="100" t="str">
        <x:v>审核中</x:v>
      </x:c>
      <x:c r="K127" s="100" t="str">
        <x:v>QH-SU-KX-0251B</x:v>
      </x:c>
      <x:c r="L127" s="100" t="str">
        <x:v>卷251；康熙五十一年十月初一日；4/64</x:v>
      </x:c>
      <x:c r="M127" s="100" t="str">
        <x:v>御筆硃書諭諸王、貝勒、貝子、大臣等……如此狂易成疾、不得眾心之人、豈可付託乎。故將允礽、仍行廢黜禁錮。為此特諭。</x:v>
      </x:c>
      <x:c r="N127" s="100" t="str">
        <x:v>支持</x:v>
      </x:c>
      <x:c r="O127" s="100" t="str">
        <x:v>明确记载</x:v>
      </x:c>
      <x:c r="P127" s="100" t="str">
        <x:v>强</x:v>
      </x:c>
      <x:c r="Q127" s="100" t="str">
        <x:v>QH-SF-QSL-KX</x:v>
      </x:c>
      <x:c r="R127" s="100" t="str">
        <x:v>QH-CF-KX-DEPOSE2-MONTH</x:v>
      </x:c>
      <x:c r="S127" s="100" t="str">
        <x:v>结构化导入</x:v>
      </x:c>
      <x:c r="T127" s="100" t="str">
        <x:v>AI</x:v>
      </x:c>
      <x:c r="U127" s="100" t="str">
        <x:v>zonglinxie-cyber</x:v>
      </x:c>
      <x:c r="V127" s="108" t="str">
        <x:v>2026-08-15</x:v>
      </x:c>
      <x:c r="W127" s="100" t="str">
        <x:v>十月辛亥朱笔再废谕；废黜字样见于本条；仍无咸安宫。列传十月对应本条。实录把再废分成两日，是本纪九月与列传十月差异的原文依据。公历依通行年表，待历法库复核。废太子属承嗣高风险命题；目前仅实录家族，双来源家族门禁通电后撤回采纳。</x:v>
      </x:c>
    </x:row>
    <x:row r="128" ht="34" customHeight="1">
      <x:c r="A128" s="100" t="str">
        <x:v>QH-A-KX-0124</x:v>
      </x:c>
      <x:c r="B128" s="100" t="str">
        <x:v>事件发生</x:v>
      </x:c>
      <x:c r="C128" s="100" t="str">
        <x:v>QH-P-000001</x:v>
      </x:c>
      <x:c r="D128" s="100" t="str">
        <x:v>ordered_heir_date_selection</x:v>
      </x:c>
      <x:c r="E128" s="100" t="str">
        <x:v>谕礼部以嫡子允礽为皇太子并选择吉期</x:v>
      </x:c>
      <x:c r="F128" s="100" t="str">
        <x:v>康熙十四年六月癸亥</x:v>
      </x:c>
      <x:c r="G128" s="108" t="str">
        <x:v>1675-07-28</x:v>
      </x:c>
      <x:c r="H128" s="108" t="str">
        <x:v>1675-07-28</x:v>
      </x:c>
      <x:c r="I128" s="100" t="str">
        <x:v>确定</x:v>
      </x:c>
      <x:c r="J128" s="100" t="str">
        <x:v>审核中</x:v>
      </x:c>
      <x:c r="K128" s="100" t="str">
        <x:v>QH-SU-KX-0056A</x:v>
      </x:c>
      <x:c r="L128" s="100" t="str">
        <x:v>卷56；康熙十四年六月癸亥；1/3</x:v>
      </x:c>
      <x:c r="M128" s="100" t="str">
        <x:v>今以嫡子允礽、為皇太子。爾部詳察應行典禮、選擇吉期具奏</x:v>
      </x:c>
      <x:c r="N128" s="100" t="str">
        <x:v>支持</x:v>
      </x:c>
      <x:c r="O128" s="100" t="str">
        <x:v>明确记载</x:v>
      </x:c>
      <x:c r="P128" s="100" t="str">
        <x:v>强</x:v>
      </x:c>
      <x:c r="Q128" s="100" t="str">
        <x:v>QH-SF-QSL-KX</x:v>
      </x:c>
      <x:c r="R128" s="100" t="str"/>
      <x:c r="S128" s="100" t="str">
        <x:v>结构化导入</x:v>
      </x:c>
      <x:c r="T128" s="100" t="str">
        <x:v>AI</x:v>
      </x:c>
      <x:c r="U128" s="100" t="str"/>
      <x:c r="V128" s="108" t="str"/>
      <x:c r="W128" s="100" t="str">
        <x:v>只证明该实录版本记六月癸亥谕礼部择吉；不是十二月册立当日。同日第2/3与第3/3条不拆入。页面仅标公历年1675。换算依通行年表作1675-07-28；待独立历法库复核。通行六月初三日与本条癸亥初六不符；不采初三说。</x:v>
      </x:c>
    </x:row>
    <x:row r="129" ht="34" customHeight="1">
      <x:c r="A129" s="100" t="str">
        <x:v>QH-A-YZ-0001</x:v>
      </x:c>
      <x:c r="B129" s="100" t="str">
        <x:v>事件发生</x:v>
      </x:c>
      <x:c r="C129" s="100" t="str">
        <x:v>QH-P-000001</x:v>
      </x:c>
      <x:c r="D129" s="100" t="str">
        <x:v>ill_at</x:v>
      </x:c>
      <x:c r="E129" s="100" t="str">
        <x:v>畅春园</x:v>
      </x:c>
      <x:c r="F129" s="100" t="str">
        <x:v>康熙六十一年十一月</x:v>
      </x:c>
      <x:c r="G129" s="108" t="str">
        <x:v>1722-12-08</x:v>
      </x:c>
      <x:c r="H129" s="108" t="str">
        <x:v>1722-12-20</x:v>
      </x:c>
      <x:c r="I129" s="100" t="str">
        <x:v>确定</x:v>
      </x:c>
      <x:c r="J129" s="100" t="str">
        <x:v>审核中</x:v>
      </x:c>
      <x:c r="K129" s="100" t="str">
        <x:v>QH-SU-YZ-QSG-0009A</x:v>
      </x:c>
      <x:c r="L129" s="100" t="str">
        <x:v>卷9；康熙六十一年十一月</x:v>
      </x:c>
      <x:c r="M129" s="100" t="str">
        <x:v>聖祖在暢春園不豫</x:v>
      </x:c>
      <x:c r="N129" s="100" t="str">
        <x:v>支持</x:v>
      </x:c>
      <x:c r="O129" s="100" t="str">
        <x:v>明确记载</x:v>
      </x:c>
      <x:c r="P129" s="100" t="str">
        <x:v>中</x:v>
      </x:c>
      <x:c r="Q129" s="100" t="str">
        <x:v>QH-SF-QSG</x:v>
      </x:c>
      <x:c r="R129" s="100" t="str">
        <x:v>QH-CF-KX-SUCCESSION</x:v>
      </x:c>
      <x:c r="S129" s="100" t="str">
        <x:v>结构化导入</x:v>
      </x:c>
      <x:c r="T129" s="100" t="str">
        <x:v>AI</x:v>
      </x:c>
      <x:c r="U129" s="100" t="str"/>
      <x:c r="V129" s="108" t="str"/>
      <x:c r="W129" s="100" t="str">
        <x:v>本纪九写畅春园不豫。实录崩逝条只写寝宫。两说分层，不得用本条改写 QH-A-KX-0037。原纪年只到月；公历用十一月朔至甲午崩日。后出本纪不作终审。公历依通行年表，待历法库复核。世宗实录条次未钉，不假装已回条次。</x:v>
      </x:c>
    </x:row>
    <x:row r="130" ht="34" customHeight="1">
      <x:c r="A130" s="100" t="str">
        <x:v>QH-A-YZ-0002</x:v>
      </x:c>
      <x:c r="B130" s="100" t="str">
        <x:v>事件发生</x:v>
      </x:c>
      <x:c r="C130" s="100" t="str">
        <x:v>QH-P-000001</x:v>
      </x:c>
      <x:c r="D130" s="100" t="str">
        <x:v>illness_became_critical</x:v>
      </x:c>
      <x:c r="E130" s="100" t="str">
        <x:v>疾大渐并宣诏嗣位</x:v>
      </x:c>
      <x:c r="F130" s="100" t="str">
        <x:v>康熙六十一年十一月甲午</x:v>
      </x:c>
      <x:c r="G130" s="108" t="str">
        <x:v>1722-12-20</x:v>
      </x:c>
      <x:c r="H130" s="108" t="str">
        <x:v>1722-12-20</x:v>
      </x:c>
      <x:c r="I130" s="100" t="str">
        <x:v>确定</x:v>
      </x:c>
      <x:c r="J130" s="100" t="str">
        <x:v>审核中</x:v>
      </x:c>
      <x:c r="K130" s="100" t="str">
        <x:v>QH-SU-YZ-QSG-0009A</x:v>
      </x:c>
      <x:c r="L130" s="100" t="str">
        <x:v>卷9；康熙六十一年十一月甲午</x:v>
      </x:c>
      <x:c r="M130" s="100" t="str">
        <x:v>甲午，聖祖大漸，召於齋宮，宣詔嗣位</x:v>
      </x:c>
      <x:c r="N130" s="100" t="str">
        <x:v>支持</x:v>
      </x:c>
      <x:c r="O130" s="100" t="str">
        <x:v>明确记载</x:v>
      </x:c>
      <x:c r="P130" s="100" t="str">
        <x:v>中</x:v>
      </x:c>
      <x:c r="Q130" s="100" t="str">
        <x:v>QH-SF-QSG</x:v>
      </x:c>
      <x:c r="R130" s="100" t="str">
        <x:v>QH-CF-KX-SUCCESSION</x:v>
      </x:c>
      <x:c r="S130" s="100" t="str">
        <x:v>结构化导入</x:v>
      </x:c>
      <x:c r="T130" s="100" t="str">
        <x:v>AI</x:v>
      </x:c>
      <x:c r="U130" s="100" t="str"/>
      <x:c r="V130" s="108" t="str"/>
      <x:c r="W130" s="100" t="str">
        <x:v>甲午即十一月十三日，与实录崩日同。本纪写召于斋宫、宣诏嗣位，未写御榻口谕名单，也未写改诏。改诏说见对照栏，不入本条。后出本纪不作终审。公历依通行年表，待历法库复核。世宗实录条次未钉，不假装已回条次。</x:v>
      </x:c>
    </x:row>
    <x:row r="131" ht="34" customHeight="1">
      <x:c r="A131" s="100" t="str">
        <x:v>QH-A-YZ-0003</x:v>
      </x:c>
      <x:c r="B131" s="100" t="str">
        <x:v>事件发生</x:v>
      </x:c>
      <x:c r="C131" s="100" t="str">
        <x:v>QH-P-000001</x:v>
      </x:c>
      <x:c r="D131" s="100" t="str">
        <x:v>died_on</x:v>
      </x:c>
      <x:c r="E131" s="100" t="str">
        <x:v>崩</x:v>
      </x:c>
      <x:c r="F131" s="100" t="str">
        <x:v>康熙六十一年十一月甲午</x:v>
      </x:c>
      <x:c r="G131" s="108" t="str">
        <x:v>1722-12-20</x:v>
      </x:c>
      <x:c r="H131" s="108" t="str">
        <x:v>1722-12-20</x:v>
      </x:c>
      <x:c r="I131" s="100" t="str">
        <x:v>确定</x:v>
      </x:c>
      <x:c r="J131" s="100" t="str">
        <x:v>审核中</x:v>
      </x:c>
      <x:c r="K131" s="100" t="str">
        <x:v>QH-SU-YZ-QSG-0009A</x:v>
      </x:c>
      <x:c r="L131" s="100" t="str">
        <x:v>卷9；康熙六十一年十一月甲午</x:v>
      </x:c>
      <x:c r="M131" s="100" t="str">
        <x:v>聖祖崩</x:v>
      </x:c>
      <x:c r="N131" s="100" t="str">
        <x:v>支持</x:v>
      </x:c>
      <x:c r="O131" s="100" t="str">
        <x:v>明确记载</x:v>
      </x:c>
      <x:c r="P131" s="100" t="str">
        <x:v>中</x:v>
      </x:c>
      <x:c r="Q131" s="100" t="str">
        <x:v>QH-SF-QSG</x:v>
      </x:c>
      <x:c r="R131" s="100" t="str">
        <x:v>QH-CF-KX-SUCCESSION</x:v>
      </x:c>
      <x:c r="S131" s="100" t="str">
        <x:v>结构化导入</x:v>
      </x:c>
      <x:c r="T131" s="100" t="str">
        <x:v>AI</x:v>
      </x:c>
      <x:c r="U131" s="100" t="str"/>
      <x:c r="V131" s="108" t="str"/>
      <x:c r="W131" s="100" t="str">
        <x:v>本纪九将崩写在甲午，未写寝宫或戌刻。时刻与屋子以实录 QH-A-KX-0037 为准，不互相覆盖。后出本纪不作终审。公历依通行年表，待历法库复核。世宗实录条次未钉，不假装已回条次。</x:v>
      </x:c>
    </x:row>
    <x:row r="132" ht="34" customHeight="1">
      <x:c r="A132" s="100" t="str">
        <x:v>QH-A-YZ-0004</x:v>
      </x:c>
      <x:c r="B132" s="100" t="str">
        <x:v>事件发生</x:v>
      </x:c>
      <x:c r="C132" s="100" t="str">
        <x:v>QH-P-000002</x:v>
      </x:c>
      <x:c r="D132" s="100" t="str">
        <x:v>accession_occurred</x:v>
      </x:c>
      <x:c r="E132" s="100" t="str">
        <x:v>即皇帝位</x:v>
      </x:c>
      <x:c r="F132" s="100" t="str">
        <x:v>康熙六十一年十一月辛丑</x:v>
      </x:c>
      <x:c r="G132" s="108" t="str">
        <x:v>1722-12-27</x:v>
      </x:c>
      <x:c r="H132" s="108" t="str">
        <x:v>1722-12-27</x:v>
      </x:c>
      <x:c r="I132" s="100" t="str">
        <x:v>确定</x:v>
      </x:c>
      <x:c r="J132" s="100" t="str">
        <x:v>审核中</x:v>
      </x:c>
      <x:c r="K132" s="100" t="str">
        <x:v>QH-SU-YZ-QSG-0009A</x:v>
      </x:c>
      <x:c r="L132" s="100" t="str">
        <x:v>卷9；康熙六十一年十一月辛丑</x:v>
      </x:c>
      <x:c r="M132" s="100" t="str">
        <x:v>辛丑，上即位</x:v>
      </x:c>
      <x:c r="N132" s="100" t="str">
        <x:v>支持</x:v>
      </x:c>
      <x:c r="O132" s="100" t="str">
        <x:v>明确记载</x:v>
      </x:c>
      <x:c r="P132" s="100" t="str">
        <x:v>中</x:v>
      </x:c>
      <x:c r="Q132" s="100" t="str">
        <x:v>QH-SF-QSG</x:v>
      </x:c>
      <x:c r="R132" s="100" t="str">
        <x:v>QH-CF-KX-SUCCESSION</x:v>
      </x:c>
      <x:c r="S132" s="100" t="str">
        <x:v>结构化导入</x:v>
      </x:c>
      <x:c r="T132" s="100" t="str">
        <x:v>AI</x:v>
      </x:c>
      <x:c r="U132" s="100" t="str"/>
      <x:c r="V132" s="108" t="str"/>
      <x:c r="W132" s="100" t="str">
        <x:v>辛丑=十一月二十日，比甲午崩日晚七日。实录遗诏文本在十三日。即位礼与遗诏文本不是同一天，不能合成「即位与遗诏同一天」。后出本纪不作终审。公历依通行年表，待历法库复核。世宗实录条次未钉，不假装已回条次。</x:v>
      </x:c>
    </x:row>
    <x:row r="133" ht="34" customHeight="1">
      <x:c r="A133" s="100" t="str">
        <x:v>QH-A-YZ-0005</x:v>
      </x:c>
      <x:c r="B133" s="100" t="str">
        <x:v>文字或数值陈述</x:v>
      </x:c>
      <x:c r="C133" s="100" t="str">
        <x:v>QH-P-000002</x:v>
      </x:c>
      <x:c r="D133" s="100" t="str">
        <x:v>announced_next_reign_era</x:v>
      </x:c>
      <x:c r="E133" s="100" t="str">
        <x:v>以明年为雍正元年</x:v>
      </x:c>
      <x:c r="F133" s="100" t="str">
        <x:v>康熙六十一年十一月辛丑</x:v>
      </x:c>
      <x:c r="G133" s="108" t="str">
        <x:v>1722-12-27</x:v>
      </x:c>
      <x:c r="H133" s="108" t="str">
        <x:v>1722-12-27</x:v>
      </x:c>
      <x:c r="I133" s="100" t="str">
        <x:v>确定</x:v>
      </x:c>
      <x:c r="J133" s="100" t="str">
        <x:v>审核中</x:v>
      </x:c>
      <x:c r="K133" s="100" t="str">
        <x:v>QH-SU-YZ-QSG-0009A</x:v>
      </x:c>
      <x:c r="L133" s="100" t="str">
        <x:v>卷9；康熙六十一年十一月辛丑</x:v>
      </x:c>
      <x:c r="M133" s="100" t="str">
        <x:v>以明年為雍正元年</x:v>
      </x:c>
      <x:c r="N133" s="100" t="str">
        <x:v>支持</x:v>
      </x:c>
      <x:c r="O133" s="100" t="str">
        <x:v>明确记载</x:v>
      </x:c>
      <x:c r="P133" s="100" t="str">
        <x:v>中</x:v>
      </x:c>
      <x:c r="Q133" s="100" t="str">
        <x:v>QH-SF-QSG</x:v>
      </x:c>
      <x:c r="R133" s="100" t="str"/>
      <x:c r="S133" s="100" t="str">
        <x:v>结构化导入</x:v>
      </x:c>
      <x:c r="T133" s="100" t="str">
        <x:v>AI</x:v>
      </x:c>
      <x:c r="U133" s="100" t="str"/>
      <x:c r="V133" s="108" t="str"/>
      <x:c r="W133" s="100" t="str">
        <x:v>1722年即位，1723年才是雍正元年。不得只留一个在位起年。后出本纪不作终审。公历依通行年表，待历法库复核。世宗实录条次未钉，不假装已回条次。</x:v>
      </x:c>
    </x:row>
    <x:row r="134" ht="34" customHeight="1">
      <x:c r="A134" s="100" t="str">
        <x:v>QH-A-YZ-0006</x:v>
      </x:c>
      <x:c r="B134" s="100" t="str">
        <x:v>事件发生</x:v>
      </x:c>
      <x:c r="C134" s="100" t="str">
        <x:v>QH-P-000002</x:v>
      </x:c>
      <x:c r="D134" s="100" t="str">
        <x:v>appointed_regency_council</x:v>
      </x:c>
      <x:c r="E134" s="100" t="str">
        <x:v>贝勒胤禩；皇十三弟胤祥；大学士马齐；尚书隆科多</x:v>
      </x:c>
      <x:c r="F134" s="100" t="str">
        <x:v>康熙六十一年十一月辛丑</x:v>
      </x:c>
      <x:c r="G134" s="108" t="str">
        <x:v>1722-12-27</x:v>
      </x:c>
      <x:c r="H134" s="108" t="str">
        <x:v>1722-12-27</x:v>
      </x:c>
      <x:c r="I134" s="100" t="str">
        <x:v>确定</x:v>
      </x:c>
      <x:c r="J134" s="100" t="str">
        <x:v>审核中</x:v>
      </x:c>
      <x:c r="K134" s="100" t="str">
        <x:v>QH-SU-YZ-QSG-0009A</x:v>
      </x:c>
      <x:c r="L134" s="100" t="str">
        <x:v>卷9；康熙六十一年十一月辛丑</x:v>
      </x:c>
      <x:c r="M134" s="100" t="str">
        <x:v>命貝勒胤禩、皇十三弟胤祥、大學士馬齊、尚書隆科多總理事務</x:v>
      </x:c>
      <x:c r="N134" s="100" t="str">
        <x:v>支持</x:v>
      </x:c>
      <x:c r="O134" s="100" t="str">
        <x:v>明确记载</x:v>
      </x:c>
      <x:c r="P134" s="100" t="str">
        <x:v>中</x:v>
      </x:c>
      <x:c r="Q134" s="100" t="str">
        <x:v>QH-SF-QSG</x:v>
      </x:c>
      <x:c r="R134" s="100" t="str"/>
      <x:c r="S134" s="100" t="str">
        <x:v>结构化导入</x:v>
      </x:c>
      <x:c r="T134" s="100" t="str">
        <x:v>AI</x:v>
      </x:c>
      <x:c r="U134" s="100" t="str"/>
      <x:c r="V134" s="108" t="str"/>
      <x:c r="W134" s="100" t="str">
        <x:v>四人同日受命总理事务。人物ID：QH-P-000007、000011、000047、000048。不得写成八爷党或顾命大臣已证制度名。后出本纪不作终审。公历依通行年表，待历法库复核。世宗实录条次未钉，不假装已回条次。</x:v>
      </x:c>
    </x:row>
    <x:row r="135" ht="34" customHeight="1">
      <x:c r="A135" s="100" t="str">
        <x:v>QH-A-YZ-0007</x:v>
      </x:c>
      <x:c r="B135" s="100" t="str">
        <x:v>事件发生</x:v>
      </x:c>
      <x:c r="C135" s="100" t="str">
        <x:v>QH-P-000002</x:v>
      </x:c>
      <x:c r="D135" s="100" t="str">
        <x:v>recalled_to_capital</x:v>
      </x:c>
      <x:c r="E135" s="100" t="str">
        <x:v>QH-P-000012</x:v>
      </x:c>
      <x:c r="F135" s="100" t="str">
        <x:v>康熙六十一年十一月辛丑</x:v>
      </x:c>
      <x:c r="G135" s="108" t="str">
        <x:v>1722-12-27</x:v>
      </x:c>
      <x:c r="H135" s="108" t="str">
        <x:v>1722-12-27</x:v>
      </x:c>
      <x:c r="I135" s="100" t="str">
        <x:v>确定</x:v>
      </x:c>
      <x:c r="J135" s="100" t="str">
        <x:v>审核中</x:v>
      </x:c>
      <x:c r="K135" s="100" t="str">
        <x:v>QH-SU-YZ-QSG-0009A</x:v>
      </x:c>
      <x:c r="L135" s="100" t="str">
        <x:v>卷9；康熙六十一年十一月辛丑</x:v>
      </x:c>
      <x:c r="M135" s="100" t="str">
        <x:v>召撫遠大將軍胤禵來京</x:v>
      </x:c>
      <x:c r="N135" s="100" t="str">
        <x:v>支持</x:v>
      </x:c>
      <x:c r="O135" s="100" t="str">
        <x:v>明确记载</x:v>
      </x:c>
      <x:c r="P135" s="100" t="str">
        <x:v>中</x:v>
      </x:c>
      <x:c r="Q135" s="100" t="str">
        <x:v>QH-SF-QSG</x:v>
      </x:c>
      <x:c r="R135" s="100" t="str"/>
      <x:c r="S135" s="100" t="str">
        <x:v>结构化导入</x:v>
      </x:c>
      <x:c r="T135" s="100" t="str">
        <x:v>AI</x:v>
      </x:c>
      <x:c r="U135" s="100" t="str"/>
      <x:c r="V135" s="108" t="str"/>
      <x:c r="W135" s="100" t="str">
        <x:v>召还不是定罪。本纪用胤禵。不得写成传位十四子失败。后出本纪不作终审。公历依通行年表，待历法库复核。世宗实录条次未钉，不假装已回条次。</x:v>
      </x:c>
    </x:row>
    <x:row r="136" ht="34" customHeight="1">
      <x:c r="A136" s="100" t="str">
        <x:v>QH-A-YZ-0008</x:v>
      </x:c>
      <x:c r="B136" s="100" t="str">
        <x:v>称号授予</x:v>
      </x:c>
      <x:c r="C136" s="100" t="str">
        <x:v>QH-P-000007</x:v>
      </x:c>
      <x:c r="D136" s="100" t="str">
        <x:v>invested_as_prince</x:v>
      </x:c>
      <x:c r="E136" s="100" t="str">
        <x:v>廉亲王</x:v>
      </x:c>
      <x:c r="F136" s="100" t="str">
        <x:v>康熙六十一年十二月壬戌</x:v>
      </x:c>
      <x:c r="G136" s="108" t="str">
        <x:v>1723-01-17</x:v>
      </x:c>
      <x:c r="H136" s="108" t="str">
        <x:v>1723-01-17</x:v>
      </x:c>
      <x:c r="I136" s="100" t="str">
        <x:v>确定</x:v>
      </x:c>
      <x:c r="J136" s="100" t="str">
        <x:v>审核中</x:v>
      </x:c>
      <x:c r="K136" s="100" t="str">
        <x:v>QH-SU-YZ-QSG-0009B</x:v>
      </x:c>
      <x:c r="L136" s="100" t="str">
        <x:v>卷9；康熙六十一年十二月壬戌</x:v>
      </x:c>
      <x:c r="M136" s="100" t="str">
        <x:v>封貝勒胤禩為廉親王，胤祥為怡親王</x:v>
      </x:c>
      <x:c r="N136" s="100" t="str">
        <x:v>支持</x:v>
      </x:c>
      <x:c r="O136" s="100" t="str">
        <x:v>明确记载</x:v>
      </x:c>
      <x:c r="P136" s="100" t="str">
        <x:v>中</x:v>
      </x:c>
      <x:c r="Q136" s="100" t="str">
        <x:v>QH-SF-QSG</x:v>
      </x:c>
      <x:c r="R136" s="100" t="str"/>
      <x:c r="S136" s="100" t="str">
        <x:v>结构化导入</x:v>
      </x:c>
      <x:c r="T136" s="100" t="str">
        <x:v>AI</x:v>
      </x:c>
      <x:c r="U136" s="100" t="str"/>
      <x:c r="V136" s="108" t="str"/>
      <x:c r="W136" s="100" t="str">
        <x:v>同条并封胤祹履郡王、弘晰理郡王，不并入本条。胤祥封怡亲王见下条。后出本纪不作终审。公历依通行年表，待历法库复核。世宗实录条次未钉，不假装已回条次。</x:v>
      </x:c>
    </x:row>
    <x:row r="137" ht="34" customHeight="1">
      <x:c r="A137" s="100" t="str">
        <x:v>QH-A-YZ-0009</x:v>
      </x:c>
      <x:c r="B137" s="100" t="str">
        <x:v>称号授予</x:v>
      </x:c>
      <x:c r="C137" s="100" t="str">
        <x:v>QH-P-000011</x:v>
      </x:c>
      <x:c r="D137" s="100" t="str">
        <x:v>invested_as_prince</x:v>
      </x:c>
      <x:c r="E137" s="100" t="str">
        <x:v>怡亲王</x:v>
      </x:c>
      <x:c r="F137" s="100" t="str">
        <x:v>康熙六十一年十二月壬戌</x:v>
      </x:c>
      <x:c r="G137" s="108" t="str">
        <x:v>1723-01-17</x:v>
      </x:c>
      <x:c r="H137" s="108" t="str">
        <x:v>1723-01-17</x:v>
      </x:c>
      <x:c r="I137" s="100" t="str">
        <x:v>确定</x:v>
      </x:c>
      <x:c r="J137" s="100" t="str">
        <x:v>审核中</x:v>
      </x:c>
      <x:c r="K137" s="100" t="str">
        <x:v>QH-SU-YZ-QSG-0009B</x:v>
      </x:c>
      <x:c r="L137" s="100" t="str">
        <x:v>卷9；康熙六十一年十二月壬戌</x:v>
      </x:c>
      <x:c r="M137" s="100" t="str">
        <x:v>封貝勒胤禩為廉親王，胤祥為怡親王</x:v>
      </x:c>
      <x:c r="N137" s="100" t="str">
        <x:v>支持</x:v>
      </x:c>
      <x:c r="O137" s="100" t="str">
        <x:v>明确记载</x:v>
      </x:c>
      <x:c r="P137" s="100" t="str">
        <x:v>中</x:v>
      </x:c>
      <x:c r="Q137" s="100" t="str">
        <x:v>QH-SF-QSG</x:v>
      </x:c>
      <x:c r="R137" s="100" t="str"/>
      <x:c r="S137" s="100" t="str">
        <x:v>结构化导入</x:v>
      </x:c>
      <x:c r="T137" s="100" t="str">
        <x:v>AI</x:v>
      </x:c>
      <x:c r="U137" s="100" t="str"/>
      <x:c r="V137" s="108" t="str"/>
      <x:c r="W137" s="100" t="str">
        <x:v>与廉亲王同日。不得写成雍正最信任的人已核心理判断。后出本纪不作终审。公历依通行年表，待历法库复核。世宗实录条次未钉，不假装已回条次。</x:v>
      </x:c>
    </x:row>
    <x:row r="138" ht="34" customHeight="1">
      <x:c r="A138" s="100" t="str">
        <x:v>QH-A-YZ-0010</x:v>
      </x:c>
      <x:c r="B138" s="100" t="str">
        <x:v>称号授予</x:v>
      </x:c>
      <x:c r="C138" s="100" t="str">
        <x:v>QH-P-000048</x:v>
      </x:c>
      <x:c r="D138" s="100" t="str">
        <x:v>appointed_as</x:v>
      </x:c>
      <x:c r="E138" s="100" t="str">
        <x:v>吏部尚书</x:v>
      </x:c>
      <x:c r="F138" s="100" t="str">
        <x:v>康熙六十一年十二月甲子</x:v>
      </x:c>
      <x:c r="G138" s="108" t="str">
        <x:v>1723-01-19</x:v>
      </x:c>
      <x:c r="H138" s="108" t="str">
        <x:v>1723-01-19</x:v>
      </x:c>
      <x:c r="I138" s="100" t="str">
        <x:v>确定</x:v>
      </x:c>
      <x:c r="J138" s="100" t="str">
        <x:v>审核中</x:v>
      </x:c>
      <x:c r="K138" s="100" t="str">
        <x:v>QH-SU-YZ-QSG-0009B</x:v>
      </x:c>
      <x:c r="L138" s="100" t="str">
        <x:v>卷9；康熙六十一年十二月甲子</x:v>
      </x:c>
      <x:c r="M138" s="100" t="str">
        <x:v>隆科多為吏部尚書</x:v>
      </x:c>
      <x:c r="N138" s="100" t="str">
        <x:v>支持</x:v>
      </x:c>
      <x:c r="O138" s="100" t="str">
        <x:v>明确记载</x:v>
      </x:c>
      <x:c r="P138" s="100" t="str">
        <x:v>中</x:v>
      </x:c>
      <x:c r="Q138" s="100" t="str">
        <x:v>QH-SF-QSG</x:v>
      </x:c>
      <x:c r="R138" s="100" t="str"/>
      <x:c r="S138" s="100" t="str">
        <x:v>结构化导入</x:v>
      </x:c>
      <x:c r="T138" s="100" t="str">
        <x:v>AI</x:v>
      </x:c>
      <x:c r="U138" s="100" t="str"/>
      <x:c r="V138" s="108" t="str"/>
      <x:c r="W138" s="100" t="str">
        <x:v>甲子=十二月十三日。公历1723-01-19依甲午+干支差推算待历法库复核。当时已是尚书，此条是吏部尚书。后出本纪不作终审。公历依通行年表，待历法库复核。世宗实录条次未钉，不假装已回条次。</x:v>
      </x:c>
    </x:row>
    <x:row r="139" ht="34" customHeight="1">
      <x:c r="A139" s="100" t="str">
        <x:v>QH-A-YZ-0011</x:v>
      </x:c>
      <x:c r="B139" s="100" t="str">
        <x:v>称号授予</x:v>
      </x:c>
      <x:c r="C139" s="100" t="str">
        <x:v>QH-P-000049</x:v>
      </x:c>
      <x:c r="D139" s="100" t="str">
        <x:v>honored_as</x:v>
      </x:c>
      <x:c r="E139" s="100" t="str">
        <x:v>太保</x:v>
      </x:c>
      <x:c r="F139" s="100" t="str">
        <x:v>雍正元年三月甲申</x:v>
      </x:c>
      <x:c r="G139" s="108" t="str">
        <x:v>1723-04-09</x:v>
      </x:c>
      <x:c r="H139" s="108" t="str">
        <x:v>1723-04-09</x:v>
      </x:c>
      <x:c r="I139" s="100" t="str">
        <x:v>确定</x:v>
      </x:c>
      <x:c r="J139" s="100" t="str">
        <x:v>审核中</x:v>
      </x:c>
      <x:c r="K139" s="100" t="str">
        <x:v>QH-SU-YZ-QSG-0009C</x:v>
      </x:c>
      <x:c r="L139" s="100" t="str">
        <x:v>卷9；雍正元年三月甲申</x:v>
      </x:c>
      <x:c r="M139" s="100" t="str">
        <x:v>加隆科多、馬齊、年羹堯太保</x:v>
      </x:c>
      <x:c r="N139" s="100" t="str">
        <x:v>支持</x:v>
      </x:c>
      <x:c r="O139" s="100" t="str">
        <x:v>明确记载</x:v>
      </x:c>
      <x:c r="P139" s="100" t="str">
        <x:v>中</x:v>
      </x:c>
      <x:c r="Q139" s="100" t="str">
        <x:v>QH-SF-QSG</x:v>
      </x:c>
      <x:c r="R139" s="100" t="str"/>
      <x:c r="S139" s="100" t="str">
        <x:v>结构化导入</x:v>
      </x:c>
      <x:c r="T139" s="100" t="str">
        <x:v>AI</x:v>
      </x:c>
      <x:c r="U139" s="100" t="str"/>
      <x:c r="V139" s="108" t="str"/>
      <x:c r="W139" s="100" t="str">
        <x:v>三人同日加太保。年羹尧人物ID QH-P-000049。不得写成因年妃受宠而加衔。后出本纪不作终审。公历依通行年表，待历法库复核。世宗实录条次未钉，不假装已回条次。</x:v>
      </x:c>
    </x:row>
    <x:row r="140" ht="34" customHeight="1">
      <x:c r="A140" s="100" t="str">
        <x:v>QH-A-YZ-0012</x:v>
      </x:c>
      <x:c r="B140" s="100" t="str">
        <x:v>称号授予</x:v>
      </x:c>
      <x:c r="C140" s="100" t="str">
        <x:v>QH-P-000049</x:v>
      </x:c>
      <x:c r="D140" s="100" t="str">
        <x:v>invested_as_duke</x:v>
      </x:c>
      <x:c r="E140" s="100" t="str">
        <x:v>三等公</x:v>
      </x:c>
      <x:c r="F140" s="100" t="str">
        <x:v>雍正元年三月甲申</x:v>
      </x:c>
      <x:c r="G140" s="108" t="str">
        <x:v>1723-04-09</x:v>
      </x:c>
      <x:c r="H140" s="108" t="str">
        <x:v>1723-04-09</x:v>
      </x:c>
      <x:c r="I140" s="100" t="str">
        <x:v>确定</x:v>
      </x:c>
      <x:c r="J140" s="100" t="str">
        <x:v>审核中</x:v>
      </x:c>
      <x:c r="K140" s="100" t="str">
        <x:v>QH-SU-YZ-QSG-0009C</x:v>
      </x:c>
      <x:c r="L140" s="100" t="str">
        <x:v>卷9；雍正元年三月甲申</x:v>
      </x:c>
      <x:c r="M140" s="100" t="str">
        <x:v>封年羹堯三等公</x:v>
      </x:c>
      <x:c r="N140" s="100" t="str">
        <x:v>支持</x:v>
      </x:c>
      <x:c r="O140" s="100" t="str">
        <x:v>明确记载</x:v>
      </x:c>
      <x:c r="P140" s="100" t="str">
        <x:v>中</x:v>
      </x:c>
      <x:c r="Q140" s="100" t="str">
        <x:v>QH-SF-QSG</x:v>
      </x:c>
      <x:c r="R140" s="100" t="str"/>
      <x:c r="S140" s="100" t="str">
        <x:v>结构化导入</x:v>
      </x:c>
      <x:c r="T140" s="100" t="str">
        <x:v>AI</x:v>
      </x:c>
      <x:c r="U140" s="100" t="str"/>
      <x:c r="V140" s="108" t="str"/>
      <x:c r="W140" s="100" t="str">
        <x:v>与加太保同日条。后二年进一等公、三年褫夺，另条。后出本纪不作终审。公历依通行年表，待历法库复核。世宗实录条次未钉，不假装已回条次。</x:v>
      </x:c>
    </x:row>
    <x:row r="141" ht="34" customHeight="1">
      <x:c r="A141" s="100" t="str">
        <x:v>QH-A-YZ-0013</x:v>
      </x:c>
      <x:c r="B141" s="100" t="str">
        <x:v>事件发生</x:v>
      </x:c>
      <x:c r="C141" s="100" t="str">
        <x:v>QH-P-000025</x:v>
      </x:c>
      <x:c r="D141" s="100" t="str">
        <x:v>coffin_placed_at</x:v>
      </x:c>
      <x:c r="E141" s="100" t="str">
        <x:v>宁寿宫</x:v>
      </x:c>
      <x:c r="F141" s="100" t="str">
        <x:v>雍正元年五月辛丑</x:v>
      </x:c>
      <x:c r="G141" s="108" t="str">
        <x:v>1723-06-25</x:v>
      </x:c>
      <x:c r="H141" s="108" t="str">
        <x:v>1723-06-25</x:v>
      </x:c>
      <x:c r="I141" s="100" t="str">
        <x:v>确定</x:v>
      </x:c>
      <x:c r="J141" s="100" t="str">
        <x:v>审核中</x:v>
      </x:c>
      <x:c r="K141" s="100" t="str">
        <x:v>QH-SU-QSG-0009</x:v>
      </x:c>
      <x:c r="L141" s="100" t="str">
        <x:v>卷9；雍正元年五月辛丑</x:v>
      </x:c>
      <x:c r="M141" s="100" t="str">
        <x:v>奉安梓宮於寧壽宮</x:v>
      </x:c>
      <x:c r="N141" s="100" t="str">
        <x:v>支持</x:v>
      </x:c>
      <x:c r="O141" s="100" t="str">
        <x:v>明确记载</x:v>
      </x:c>
      <x:c r="P141" s="100" t="str">
        <x:v>中</x:v>
      </x:c>
      <x:c r="Q141" s="100" t="str">
        <x:v>QH-SF-QSG</x:v>
      </x:c>
      <x:c r="R141" s="100" t="str">
        <x:v>QH-CF-YZ-RENSHOU</x:v>
      </x:c>
      <x:c r="S141" s="100" t="str">
        <x:v>结构化导入</x:v>
      </x:c>
      <x:c r="T141" s="100" t="str">
        <x:v>AI</x:v>
      </x:c>
      <x:c r="U141" s="100" t="str"/>
      <x:c r="V141" s="108" t="str"/>
      <x:c r="W141" s="100" t="str">
        <x:v>同条称仁寿皇太后崩、帝之生母也。奉安地点是宁寿宫。徽号冲突仍见后妃传未上册。不得把孝恭写成康熙朝皇后。后出本纪不作终审。公历依通行年表，待历法库复核。世宗实录条次未钉，不假装已回条次。</x:v>
      </x:c>
    </x:row>
    <x:row r="142" ht="34" customHeight="1">
      <x:c r="A142" s="100" t="str">
        <x:v>QH-A-YZ-0014</x:v>
      </x:c>
      <x:c r="B142" s="100" t="str">
        <x:v>事件发生</x:v>
      </x:c>
      <x:c r="C142" s="100" t="str">
        <x:v>QH-P-000002</x:v>
      </x:c>
      <x:c r="D142" s="100" t="str">
        <x:v>sealed_heir_edict_behind</x:v>
      </x:c>
      <x:c r="E142" s="100" t="str">
        <x:v>正大光明匾额之后</x:v>
      </x:c>
      <x:c r="F142" s="100" t="str">
        <x:v>雍正元年八月甲子</x:v>
      </x:c>
      <x:c r="G142" s="108" t="str">
        <x:v>1723-09-16</x:v>
      </x:c>
      <x:c r="H142" s="108" t="str">
        <x:v>1723-09-16</x:v>
      </x:c>
      <x:c r="I142" s="100" t="str">
        <x:v>确定</x:v>
      </x:c>
      <x:c r="J142" s="100" t="str">
        <x:v>审核中</x:v>
      </x:c>
      <x:c r="K142" s="100" t="str">
        <x:v>QH-SU-YZ-QSG-0009D</x:v>
      </x:c>
      <x:c r="L142" s="100" t="str">
        <x:v>卷9；雍正元年八月甲子</x:v>
      </x:c>
      <x:c r="M142" s="100" t="str">
        <x:v>今朕親寫密封，緘置錦匣，藏於正大光明匾額之後</x:v>
      </x:c>
      <x:c r="N142" s="100" t="str">
        <x:v>支持</x:v>
      </x:c>
      <x:c r="O142" s="100" t="str">
        <x:v>明确记载</x:v>
      </x:c>
      <x:c r="P142" s="100" t="str">
        <x:v>中</x:v>
      </x:c>
      <x:c r="Q142" s="100" t="str">
        <x:v>QH-SF-QSG</x:v>
      </x:c>
      <x:c r="R142" s="100" t="str"/>
      <x:c r="S142" s="100" t="str">
        <x:v>结构化导入</x:v>
      </x:c>
      <x:c r="T142" s="100" t="str">
        <x:v>AI</x:v>
      </x:c>
      <x:c r="U142" s="100" t="str"/>
      <x:c r="V142" s="108" t="str"/>
      <x:c r="W142" s="100" t="str">
        <x:v>证明本纪记载密旨收藏位置。匣中写谁本条未拆。不得把后来取出的弘历名字倒写成甲子当日已宣示。同条「去年十一月仓卒一言而定」是上谕自述，不另证改诏真伪。后出本纪不作终审。公历依通行年表，待历法库复核。世宗实录条次未钉，不假装已回条次。</x:v>
      </x:c>
    </x:row>
    <x:row r="143" ht="34" customHeight="1">
      <x:c r="A143" s="100" t="str">
        <x:v>QH-A-YZ-0015</x:v>
      </x:c>
      <x:c r="B143" s="100" t="str">
        <x:v>事件发生</x:v>
      </x:c>
      <x:c r="C143" s="100" t="str">
        <x:v>QH-P-000001</x:v>
      </x:c>
      <x:c r="D143" s="100" t="str">
        <x:v>buried_at</x:v>
      </x:c>
      <x:c r="E143" s="100" t="str">
        <x:v>景陵</x:v>
      </x:c>
      <x:c r="F143" s="100" t="str">
        <x:v>雍正元年九月丁丑朔</x:v>
      </x:c>
      <x:c r="G143" s="108" t="str">
        <x:v>1723-09-29</x:v>
      </x:c>
      <x:c r="H143" s="108" t="str">
        <x:v>1723-09-29</x:v>
      </x:c>
      <x:c r="I143" s="100" t="str">
        <x:v>确定</x:v>
      </x:c>
      <x:c r="J143" s="100" t="str">
        <x:v>审核中</x:v>
      </x:c>
      <x:c r="K143" s="100" t="str">
        <x:v>QH-SU-YZ-QSG-0009E</x:v>
      </x:c>
      <x:c r="L143" s="100" t="str">
        <x:v>卷9；雍正元年九月丁丑朔</x:v>
      </x:c>
      <x:c r="M143" s="100" t="str">
        <x:v>葬聖祖仁皇帝於景陵，孝恭皇后祔焉</x:v>
      </x:c>
      <x:c r="N143" s="100" t="str">
        <x:v>支持</x:v>
      </x:c>
      <x:c r="O143" s="100" t="str">
        <x:v>明确记载</x:v>
      </x:c>
      <x:c r="P143" s="100" t="str">
        <x:v>中</x:v>
      </x:c>
      <x:c r="Q143" s="100" t="str">
        <x:v>QH-SF-QSG</x:v>
      </x:c>
      <x:c r="R143" s="100" t="str"/>
      <x:c r="S143" s="100" t="str">
        <x:v>结构化导入</x:v>
      </x:c>
      <x:c r="T143" s="100" t="str">
        <x:v>AI</x:v>
      </x:c>
      <x:c r="U143" s="100" t="str"/>
      <x:c r="V143" s="108" t="str"/>
      <x:c r="W143" s="100" t="str">
        <x:v>丁丑为朔。孝恭皇后是祔葬时的称号，不能倒写成康熙朝皇后。今地见 QH-ST-0021。后出本纪不作终审。公历依通行年表，待历法库复核。世宗实录条次未钉，不假装已回条次。</x:v>
      </x:c>
    </x:row>
    <x:row r="144" ht="34" customHeight="1">
      <x:c r="A144" s="100" t="str">
        <x:v>QH-A-YZ-0016</x:v>
      </x:c>
      <x:c r="B144" s="100" t="str">
        <x:v>称号授予</x:v>
      </x:c>
      <x:c r="C144" s="100" t="str">
        <x:v>QH-P-000049</x:v>
      </x:c>
      <x:c r="D144" s="100" t="str">
        <x:v>appointed_as</x:v>
      </x:c>
      <x:c r="E144" s="100" t="str">
        <x:v>抚远大将军</x:v>
      </x:c>
      <x:c r="F144" s="100" t="str">
        <x:v>雍正元年十月戊申</x:v>
      </x:c>
      <x:c r="G144" s="108" t="str">
        <x:v>1723-10-30</x:v>
      </x:c>
      <x:c r="H144" s="108" t="str">
        <x:v>1723-10-30</x:v>
      </x:c>
      <x:c r="I144" s="100" t="str">
        <x:v>确定</x:v>
      </x:c>
      <x:c r="J144" s="100" t="str">
        <x:v>审核中</x:v>
      </x:c>
      <x:c r="K144" s="100" t="str">
        <x:v>QH-SU-YZ-QSG-0009E</x:v>
      </x:c>
      <x:c r="L144" s="100" t="str">
        <x:v>卷9；雍正元年十月戊申</x:v>
      </x:c>
      <x:c r="M144" s="100" t="str">
        <x:v>敕授年羹堯撫遠大將軍</x:v>
      </x:c>
      <x:c r="N144" s="100" t="str">
        <x:v>支持</x:v>
      </x:c>
      <x:c r="O144" s="100" t="str">
        <x:v>明确记载</x:v>
      </x:c>
      <x:c r="P144" s="100" t="str">
        <x:v>中</x:v>
      </x:c>
      <x:c r="Q144" s="100" t="str">
        <x:v>QH-SF-QSG</x:v>
      </x:c>
      <x:c r="R144" s="100" t="str"/>
      <x:c r="S144" s="100" t="str">
        <x:v>结构化导入</x:v>
      </x:c>
      <x:c r="T144" s="100" t="str">
        <x:v>AI</x:v>
      </x:c>
      <x:c r="U144" s="100" t="str"/>
      <x:c r="V144" s="108" t="str"/>
      <x:c r="W144" s="100" t="str">
        <x:v>改延信为平逆将军在同句，不并入本条。列传作解印授羹尧，与本纪授职同方向。后出本纪不作终审。公历依通行年表，待历法库复核。世宗实录条次未钉，不假装已回条次。</x:v>
      </x:c>
    </x:row>
    <x:row r="145" ht="34" customHeight="1">
      <x:c r="A145" s="100" t="str">
        <x:v>QH-A-YZ-0017</x:v>
      </x:c>
      <x:c r="B145" s="100" t="str">
        <x:v>事件发生</x:v>
      </x:c>
      <x:c r="C145" s="100" t="str">
        <x:v>QH-P-000036</x:v>
      </x:c>
      <x:c r="D145" s="100" t="str">
        <x:v>invested_as_empress</x:v>
      </x:c>
      <x:c r="E145" s="100" t="str">
        <x:v>皇后</x:v>
      </x:c>
      <x:c r="F145" s="100" t="str">
        <x:v>雍正元年十二月丁卯</x:v>
      </x:c>
      <x:c r="G145" s="108" t="str">
        <x:v>1724-01-17</x:v>
      </x:c>
      <x:c r="H145" s="108" t="str">
        <x:v>1724-01-17</x:v>
      </x:c>
      <x:c r="I145" s="100" t="str">
        <x:v>确定</x:v>
      </x:c>
      <x:c r="J145" s="100" t="str">
        <x:v>审核中</x:v>
      </x:c>
      <x:c r="K145" s="100" t="str">
        <x:v>QH-SU-YZ-QSG-0009E</x:v>
      </x:c>
      <x:c r="L145" s="100" t="str">
        <x:v>卷9；雍正元年十二月丁卯</x:v>
      </x:c>
      <x:c r="M145" s="100" t="str">
        <x:v>冊嫡妃那拉氏為皇后</x:v>
      </x:c>
      <x:c r="N145" s="100" t="str">
        <x:v>支持</x:v>
      </x:c>
      <x:c r="O145" s="100" t="str">
        <x:v>明确记载</x:v>
      </x:c>
      <x:c r="P145" s="100" t="str">
        <x:v>中</x:v>
      </x:c>
      <x:c r="Q145" s="100" t="str">
        <x:v>QH-SF-QSG</x:v>
      </x:c>
      <x:c r="R145" s="100" t="str"/>
      <x:c r="S145" s="100" t="str">
        <x:v>结构化导入</x:v>
      </x:c>
      <x:c r="T145" s="100" t="str">
        <x:v>AI</x:v>
      </x:c>
      <x:c r="U145" s="100" t="str"/>
      <x:c r="V145" s="108" t="str"/>
      <x:c r="W145" s="100" t="str">
        <x:v>当时是嫡妃那拉氏册为皇后，不是生下来就是皇后。人物ID QH-P-000036。后出本纪不作终审。公历依通行年表，待历法库复核。世宗实录条次未钉，不假装已回条次。</x:v>
      </x:c>
    </x:row>
    <x:row r="146" ht="34" customHeight="1">
      <x:c r="A146" s="100" t="str">
        <x:v>QH-A-YZ-0018</x:v>
      </x:c>
      <x:c r="B146" s="100" t="str">
        <x:v>称号授予</x:v>
      </x:c>
      <x:c r="C146" s="100" t="str">
        <x:v>QH-P-000038</x:v>
      </x:c>
      <x:c r="D146" s="100" t="str">
        <x:v>invested_as_consort</x:v>
      </x:c>
      <x:c r="E146" s="100" t="str">
        <x:v>贵妃</x:v>
      </x:c>
      <x:c r="F146" s="100" t="str">
        <x:v>雍正元年十二月丁卯</x:v>
      </x:c>
      <x:c r="G146" s="108" t="str">
        <x:v>1724-01-17</x:v>
      </x:c>
      <x:c r="H146" s="108" t="str">
        <x:v>1724-01-17</x:v>
      </x:c>
      <x:c r="I146" s="100" t="str">
        <x:v>确定</x:v>
      </x:c>
      <x:c r="J146" s="100" t="str">
        <x:v>审核中</x:v>
      </x:c>
      <x:c r="K146" s="100" t="str">
        <x:v>QH-SU-YZ-QSG-0009E</x:v>
      </x:c>
      <x:c r="L146" s="100" t="str">
        <x:v>卷9；雍正元年十二月丁卯</x:v>
      </x:c>
      <x:c r="M146" s="100" t="str">
        <x:v>封年氏為貴妃</x:v>
      </x:c>
      <x:c r="N146" s="100" t="str">
        <x:v>支持</x:v>
      </x:c>
      <x:c r="O146" s="100" t="str">
        <x:v>明确记载</x:v>
      </x:c>
      <x:c r="P146" s="100" t="str">
        <x:v>中</x:v>
      </x:c>
      <x:c r="Q146" s="100" t="str">
        <x:v>QH-SF-QSG</x:v>
      </x:c>
      <x:c r="R146" s="100" t="str"/>
      <x:c r="S146" s="100" t="str">
        <x:v>结构化导入</x:v>
      </x:c>
      <x:c r="T146" s="100" t="str">
        <x:v>AI</x:v>
      </x:c>
      <x:c r="U146" s="100" t="str"/>
      <x:c r="V146" s="108" t="str"/>
      <x:c r="W146" s="100" t="str">
        <x:v>与册后同日。不得写成因此年羹尧掌兵。钮祜禄氏为熹妃、耿氏为裕嫔同句不并入。后出本纪不作终审。公历依通行年表，待历法库复核。世宗实录条次未钉，不假装已回条次。</x:v>
      </x:c>
    </x:row>
    <x:row r="147" ht="34" customHeight="1">
      <x:c r="A147" s="100" t="str">
        <x:v>QH-A-YZ-0019</x:v>
      </x:c>
      <x:c r="B147" s="100" t="str">
        <x:v>事件发生</x:v>
      </x:c>
      <x:c r="C147" s="100" t="str">
        <x:v>QH-P-000049</x:v>
      </x:c>
      <x:c r="D147" s="100" t="str">
        <x:v>campaign_concluded</x:v>
      </x:c>
      <x:c r="E147" s="100" t="str">
        <x:v>青海平</x:v>
      </x:c>
      <x:c r="F147" s="100" t="str">
        <x:v>雍正二年三月</x:v>
      </x:c>
      <x:c r="G147" s="108" t="str">
        <x:v>1724-03-25</x:v>
      </x:c>
      <x:c r="H147" s="108" t="str">
        <x:v>1724-04-22</x:v>
      </x:c>
      <x:c r="I147" s="100" t="str">
        <x:v>确定</x:v>
      </x:c>
      <x:c r="J147" s="100" t="str">
        <x:v>审核中</x:v>
      </x:c>
      <x:c r="K147" s="100" t="str">
        <x:v>QH-SU-YZ-QSG-0009H</x:v>
      </x:c>
      <x:c r="L147" s="100" t="str">
        <x:v>卷9；雍正二年三月</x:v>
      </x:c>
      <x:c r="M147" s="100" t="str">
        <x:v>青海平</x:v>
      </x:c>
      <x:c r="N147" s="100" t="str">
        <x:v>支持</x:v>
      </x:c>
      <x:c r="O147" s="100" t="str">
        <x:v>明确记载</x:v>
      </x:c>
      <x:c r="P147" s="100" t="str">
        <x:v>中</x:v>
      </x:c>
      <x:c r="Q147" s="100" t="str">
        <x:v>QH-SF-QSG</x:v>
      </x:c>
      <x:c r="R147" s="100" t="str"/>
      <x:c r="S147" s="100" t="str">
        <x:v>结构化导入</x:v>
      </x:c>
      <x:c r="T147" s="100" t="str">
        <x:v>AI</x:v>
      </x:c>
      <x:c r="U147" s="100" t="str"/>
      <x:c r="V147" s="108" t="str"/>
      <x:c r="W147" s="100" t="str">
        <x:v>本纪系于三月庚辰谒陵之后的连写，未给青海平单独干支。公历用三月起止。战报细节待方略。后出本纪不作终审。公历依通行年表，待历法库复核。世宗实录条次未钉，不假装已回条次。</x:v>
      </x:c>
    </x:row>
    <x:row r="148" ht="34" customHeight="1">
      <x:c r="A148" s="100" t="str">
        <x:v>QH-A-YZ-0020</x:v>
      </x:c>
      <x:c r="B148" s="100" t="str">
        <x:v>称号授予</x:v>
      </x:c>
      <x:c r="C148" s="100" t="str">
        <x:v>QH-P-000049</x:v>
      </x:c>
      <x:c r="D148" s="100" t="str">
        <x:v>invested_as_duke</x:v>
      </x:c>
      <x:c r="E148" s="100" t="str">
        <x:v>一等公</x:v>
      </x:c>
      <x:c r="F148" s="100" t="str">
        <x:v>雍正二年三月</x:v>
      </x:c>
      <x:c r="G148" s="108" t="str">
        <x:v>1724-03-25</x:v>
      </x:c>
      <x:c r="H148" s="108" t="str">
        <x:v>1724-04-22</x:v>
      </x:c>
      <x:c r="I148" s="100" t="str">
        <x:v>确定</x:v>
      </x:c>
      <x:c r="J148" s="100" t="str">
        <x:v>审核中</x:v>
      </x:c>
      <x:c r="K148" s="100" t="str">
        <x:v>QH-SU-YZ-QSG-0009H</x:v>
      </x:c>
      <x:c r="L148" s="100" t="str">
        <x:v>卷9；雍正二年三月</x:v>
      </x:c>
      <x:c r="M148" s="100" t="str">
        <x:v>封年羹堯一等公</x:v>
      </x:c>
      <x:c r="N148" s="100" t="str">
        <x:v>支持</x:v>
      </x:c>
      <x:c r="O148" s="100" t="str">
        <x:v>明确记载</x:v>
      </x:c>
      <x:c r="P148" s="100" t="str">
        <x:v>中</x:v>
      </x:c>
      <x:c r="Q148" s="100" t="str">
        <x:v>QH-SF-QSG</x:v>
      </x:c>
      <x:c r="R148" s="100" t="str"/>
      <x:c r="S148" s="100" t="str">
        <x:v>结构化导入</x:v>
      </x:c>
      <x:c r="T148" s="100" t="str">
        <x:v>AI</x:v>
      </x:c>
      <x:c r="U148" s="100" t="str"/>
      <x:c r="V148" s="108" t="str"/>
      <x:c r="W148" s="100" t="str">
        <x:v>由元年三等公进一等公。岳钟琪三等公不并入本条。后出本纪不作终审。公历依通行年表，待历法库复核。世宗实录条次未钉，不假装已回条次。 与同一来源单元、同一原始时间表达的QH-A-YZ-0019统一为雍正二年三月全月边界。</x:v>
      </x:c>
    </x:row>
    <x:row r="149" ht="34" customHeight="1">
      <x:c r="A149" s="100" t="str">
        <x:v>QH-A-YZ-0021</x:v>
      </x:c>
      <x:c r="B149" s="100" t="str">
        <x:v>文字或数值陈述</x:v>
      </x:c>
      <x:c r="C149" s="100" t="str">
        <x:v>QH-P-000002</x:v>
      </x:c>
      <x:c r="D149" s="100" t="str">
        <x:v>reprimanded_for_wording</x:v>
      </x:c>
      <x:c r="E149" s="100" t="str">
        <x:v>夕惕朝乾</x:v>
      </x:c>
      <x:c r="F149" s="100" t="str">
        <x:v>雍正三年三月辛酉</x:v>
      </x:c>
      <x:c r="G149" s="108" t="str">
        <x:v>1725-05-05</x:v>
      </x:c>
      <x:c r="H149" s="108" t="str">
        <x:v>1725-05-05</x:v>
      </x:c>
      <x:c r="I149" s="100" t="str">
        <x:v>确定</x:v>
      </x:c>
      <x:c r="J149" s="100" t="str">
        <x:v>审核中</x:v>
      </x:c>
      <x:c r="K149" s="100" t="str">
        <x:v>QH-SU-YZ-QSG-0009I</x:v>
      </x:c>
      <x:c r="L149" s="100" t="str">
        <x:v>卷9；雍正三年三月辛酉</x:v>
      </x:c>
      <x:c r="M149" s="100" t="str">
        <x:v>將「朝乾夕惕」寫作「夕惕朝乾」</x:v>
      </x:c>
      <x:c r="N149" s="100" t="str">
        <x:v>支持</x:v>
      </x:c>
      <x:c r="O149" s="100" t="str">
        <x:v>明确记载</x:v>
      </x:c>
      <x:c r="P149" s="100" t="str">
        <x:v>中</x:v>
      </x:c>
      <x:c r="Q149" s="100" t="str">
        <x:v>QH-SF-QSG</x:v>
      </x:c>
      <x:c r="R149" s="100" t="str"/>
      <x:c r="S149" s="100" t="str">
        <x:v>结构化导入</x:v>
      </x:c>
      <x:c r="T149" s="100" t="str">
        <x:v>AI</x:v>
      </x:c>
      <x:c r="U149" s="100" t="str"/>
      <x:c r="V149" s="108" t="str"/>
      <x:c r="W149" s="100" t="str">
        <x:v>这是本纪所记责让用语，不是已核笔迹鉴定。不得写成年案由此一句开始。后出本纪不作终审。公历依通行年表，待历法库复核。世宗实录条次未钉，不假装已回条次。</x:v>
      </x:c>
    </x:row>
    <x:row r="150" ht="34" customHeight="1">
      <x:c r="A150" s="100" t="str">
        <x:v>QH-A-YZ-0022</x:v>
      </x:c>
      <x:c r="B150" s="100" t="str">
        <x:v>称号授予</x:v>
      </x:c>
      <x:c r="C150" s="100" t="str">
        <x:v>QH-P-000049</x:v>
      </x:c>
      <x:c r="D150" s="100" t="str">
        <x:v>transferred_as</x:v>
      </x:c>
      <x:c r="E150" s="100" t="str">
        <x:v>杭州将军</x:v>
      </x:c>
      <x:c r="F150" s="100" t="str">
        <x:v>雍正三年四月己卯</x:v>
      </x:c>
      <x:c r="G150" s="108" t="str">
        <x:v>1725-05-23</x:v>
      </x:c>
      <x:c r="H150" s="108" t="str">
        <x:v>1725-05-23</x:v>
      </x:c>
      <x:c r="I150" s="100" t="str">
        <x:v>确定</x:v>
      </x:c>
      <x:c r="J150" s="100" t="str">
        <x:v>审核中</x:v>
      </x:c>
      <x:c r="K150" s="100" t="str">
        <x:v>QH-SU-YZ-QSG-0009I</x:v>
      </x:c>
      <x:c r="L150" s="100" t="str">
        <x:v>卷9；雍正三年四月己卯</x:v>
      </x:c>
      <x:c r="M150" s="100" t="str">
        <x:v>調年羹堯為杭州將軍</x:v>
      </x:c>
      <x:c r="N150" s="100" t="str">
        <x:v>支持</x:v>
      </x:c>
      <x:c r="O150" s="100" t="str">
        <x:v>明确记载</x:v>
      </x:c>
      <x:c r="P150" s="100" t="str">
        <x:v>中</x:v>
      </x:c>
      <x:c r="Q150" s="100" t="str">
        <x:v>QH-SF-QSG</x:v>
      </x:c>
      <x:c r="R150" s="100" t="str"/>
      <x:c r="S150" s="100" t="str">
        <x:v>结构化导入</x:v>
      </x:c>
      <x:c r="T150" s="100" t="str">
        <x:v>AI</x:v>
      </x:c>
      <x:c r="U150" s="100" t="str"/>
      <x:c r="V150" s="108" t="str"/>
      <x:c r="W150" s="100" t="str">
        <x:v>同日以岳钟琪为川陕总督。调任不是赐死。后出本纪不作终审。公历依通行年表，待历法库复核。世宗实录条次未钉，不假装已回条次。</x:v>
      </x:c>
    </x:row>
    <x:row r="151" ht="34" customHeight="1">
      <x:c r="A151" s="100" t="str">
        <x:v>QH-A-YZ-0023</x:v>
      </x:c>
      <x:c r="B151" s="100" t="str">
        <x:v>称号授予</x:v>
      </x:c>
      <x:c r="C151" s="100" t="str">
        <x:v>QH-P-000049</x:v>
      </x:c>
      <x:c r="D151" s="100" t="str">
        <x:v>stripped_of_title</x:v>
      </x:c>
      <x:c r="E151" s="100" t="str">
        <x:v>太保</x:v>
      </x:c>
      <x:c r="F151" s="100" t="str">
        <x:v>雍正三年六月</x:v>
      </x:c>
      <x:c r="G151" s="108" t="str">
        <x:v>1725-07-10</x:v>
      </x:c>
      <x:c r="H151" s="108" t="str">
        <x:v>1725-08-07</x:v>
      </x:c>
      <x:c r="I151" s="100" t="str">
        <x:v>确定</x:v>
      </x:c>
      <x:c r="J151" s="100" t="str">
        <x:v>审核中</x:v>
      </x:c>
      <x:c r="K151" s="100" t="str">
        <x:v>QH-SU-YZ-QSG-0009I</x:v>
      </x:c>
      <x:c r="L151" s="100" t="str">
        <x:v>卷9；雍正三年六月</x:v>
      </x:c>
      <x:c r="M151" s="100" t="str">
        <x:v>削年羹堯太保，尋褫其一等公</x:v>
      </x:c>
      <x:c r="N151" s="100" t="str">
        <x:v>支持</x:v>
      </x:c>
      <x:c r="O151" s="100" t="str">
        <x:v>明确记载</x:v>
      </x:c>
      <x:c r="P151" s="100" t="str">
        <x:v>中</x:v>
      </x:c>
      <x:c r="Q151" s="100" t="str">
        <x:v>QH-SF-QSG</x:v>
      </x:c>
      <x:c r="R151" s="100" t="str"/>
      <x:c r="S151" s="100" t="str">
        <x:v>结构化导入</x:v>
      </x:c>
      <x:c r="T151" s="100" t="str">
        <x:v>AI</x:v>
      </x:c>
      <x:c r="U151" s="100" t="str"/>
      <x:c r="V151" s="108" t="str"/>
      <x:c r="W151" s="100" t="str">
        <x:v>本纪先削太保，寻褫一等公，未给寻的干支。公历用六月起止。后出本纪不作终审。公历依通行年表，待历法库复核。世宗实录条次未钉，不假装已回条次。</x:v>
      </x:c>
    </x:row>
    <x:row r="152" ht="34" customHeight="1">
      <x:c r="A152" s="100" t="str">
        <x:v>QH-A-YZ-0024</x:v>
      </x:c>
      <x:c r="B152" s="100" t="str">
        <x:v>称号授予</x:v>
      </x:c>
      <x:c r="C152" s="100" t="str">
        <x:v>QH-P-000048</x:v>
      </x:c>
      <x:c r="D152" s="100" t="str">
        <x:v>stripped_of_title</x:v>
      </x:c>
      <x:c r="E152" s="100" t="str">
        <x:v>太保</x:v>
      </x:c>
      <x:c r="F152" s="100" t="str">
        <x:v>雍正三年七月丁未</x:v>
      </x:c>
      <x:c r="G152" s="108" t="str">
        <x:v>1725-08-19</x:v>
      </x:c>
      <x:c r="H152" s="108" t="str">
        <x:v>1725-08-19</x:v>
      </x:c>
      <x:c r="I152" s="100" t="str">
        <x:v>确定</x:v>
      </x:c>
      <x:c r="J152" s="100" t="str">
        <x:v>审核中</x:v>
      </x:c>
      <x:c r="K152" s="100" t="str">
        <x:v>QH-SU-YZ-QSG-0009I</x:v>
      </x:c>
      <x:c r="L152" s="100" t="str">
        <x:v>卷9；雍正三年七月丁未</x:v>
      </x:c>
      <x:c r="M152" s="100" t="str">
        <x:v>削隆科多太保</x:v>
      </x:c>
      <x:c r="N152" s="100" t="str">
        <x:v>支持</x:v>
      </x:c>
      <x:c r="O152" s="100" t="str">
        <x:v>明确记载</x:v>
      </x:c>
      <x:c r="P152" s="100" t="str">
        <x:v>中</x:v>
      </x:c>
      <x:c r="Q152" s="100" t="str">
        <x:v>QH-SF-QSG</x:v>
      </x:c>
      <x:c r="R152" s="100" t="str"/>
      <x:c r="S152" s="100" t="str">
        <x:v>结构化导入</x:v>
      </x:c>
      <x:c r="T152" s="100" t="str">
        <x:v>AI</x:v>
      </x:c>
      <x:c r="U152" s="100" t="str"/>
      <x:c r="V152" s="108" t="str"/>
      <x:c r="W152" s="100" t="str">
        <x:v>与年羹尧案并行，不是同一日赐死。后出本纪不作终审。公历依通行年表，待历法库复核。世宗实录条次未钉，不假装已回条次。</x:v>
      </x:c>
    </x:row>
    <x:row r="153" ht="34" customHeight="1">
      <x:c r="A153" s="100" t="str">
        <x:v>QH-A-YZ-0025</x:v>
      </x:c>
      <x:c r="B153" s="100" t="str">
        <x:v>称号授予</x:v>
      </x:c>
      <x:c r="C153" s="100" t="str">
        <x:v>QH-P-000049</x:v>
      </x:c>
      <x:c r="D153" s="100" t="str">
        <x:v>demoted_to</x:v>
      </x:c>
      <x:c r="E153" s="100" t="str">
        <x:v>闲散旗员</x:v>
      </x:c>
      <x:c r="F153" s="100" t="str">
        <x:v>雍正三年七月壬戌</x:v>
      </x:c>
      <x:c r="G153" s="108" t="str">
        <x:v>1725-09-03</x:v>
      </x:c>
      <x:c r="H153" s="108" t="str">
        <x:v>1725-09-03</x:v>
      </x:c>
      <x:c r="I153" s="100" t="str">
        <x:v>确定</x:v>
      </x:c>
      <x:c r="J153" s="100" t="str">
        <x:v>审核中</x:v>
      </x:c>
      <x:c r="K153" s="100" t="str">
        <x:v>QH-SU-YZ-QSG-0009I</x:v>
      </x:c>
      <x:c r="L153" s="100" t="str">
        <x:v>卷9；雍正三年七月壬戌</x:v>
      </x:c>
      <x:c r="M153" s="100" t="str">
        <x:v>杭州將軍年羹堯黜為閒散旗員</x:v>
      </x:c>
      <x:c r="N153" s="100" t="str">
        <x:v>支持</x:v>
      </x:c>
      <x:c r="O153" s="100" t="str">
        <x:v>明确记载</x:v>
      </x:c>
      <x:c r="P153" s="100" t="str">
        <x:v>中</x:v>
      </x:c>
      <x:c r="Q153" s="100" t="str">
        <x:v>QH-SF-QSG</x:v>
      </x:c>
      <x:c r="R153" s="100" t="str"/>
      <x:c r="S153" s="100" t="str">
        <x:v>结构化导入</x:v>
      </x:c>
      <x:c r="T153" s="100" t="str">
        <x:v>AI</x:v>
      </x:c>
      <x:c r="U153" s="100" t="str"/>
      <x:c r="V153" s="108" t="str"/>
      <x:c r="W153" s="100" t="str">
        <x:v>黜为闲散在逮系、赐死之前。十二月甲戌才议罪赐死。后出本纪不作终审。公历依通行年表，待历法库复核。世宗实录条次未钉，不假装已回条次。</x:v>
      </x:c>
    </x:row>
    <x:row r="154" ht="34" customHeight="1">
      <x:c r="A154" s="100" t="str">
        <x:v>QH-A-YZ-0026</x:v>
      </x:c>
      <x:c r="B154" s="100" t="str">
        <x:v>事件发生</x:v>
      </x:c>
      <x:c r="C154" s="100" t="str">
        <x:v>QH-P-000049</x:v>
      </x:c>
      <x:c r="D154" s="100" t="str">
        <x:v>granted_death</x:v>
      </x:c>
      <x:c r="E154" s="100" t="str">
        <x:v>赐死</x:v>
      </x:c>
      <x:c r="F154" s="100" t="str">
        <x:v>雍正三年十二月甲戌</x:v>
      </x:c>
      <x:c r="G154" s="108" t="str">
        <x:v>1726-01-13</x:v>
      </x:c>
      <x:c r="H154" s="108" t="str">
        <x:v>1726-01-13</x:v>
      </x:c>
      <x:c r="I154" s="100" t="str">
        <x:v>确定</x:v>
      </x:c>
      <x:c r="J154" s="100" t="str">
        <x:v>审核中</x:v>
      </x:c>
      <x:c r="K154" s="100" t="str">
        <x:v>QH-SU-YZ-QSG-0009I</x:v>
      </x:c>
      <x:c r="L154" s="100" t="str">
        <x:v>卷9；雍正三年十二月甲戌</x:v>
      </x:c>
      <x:c r="M154" s="100" t="str">
        <x:v>年羹堯賜死</x:v>
      </x:c>
      <x:c r="N154" s="100" t="str">
        <x:v>支持</x:v>
      </x:c>
      <x:c r="O154" s="100" t="str">
        <x:v>明确记载</x:v>
      </x:c>
      <x:c r="P154" s="100" t="str">
        <x:v>中</x:v>
      </x:c>
      <x:c r="Q154" s="100" t="str">
        <x:v>QH-SF-QSG</x:v>
      </x:c>
      <x:c r="R154" s="100" t="str">
        <x:v>QH-CF-YZ-NIAN-DEATH</x:v>
      </x:c>
      <x:c r="S154" s="100" t="str">
        <x:v>结构化导入</x:v>
      </x:c>
      <x:c r="T154" s="100" t="str">
        <x:v>AI</x:v>
      </x:c>
      <x:c r="U154" s="100" t="str"/>
      <x:c r="V154" s="108" t="str"/>
      <x:c r="W154" s="100" t="str">
        <x:v>同条：廷臣议上年羹尧罪九十二款。本纪作赐死；列传作狱中令自裁。两说并存。不得写成年妃一死他就倒台。后出本纪不作终审。公历依通行年表，待历法库复核。世宗实录年案条已钉：QH-SU-YZ-QSL-0039A，九十二款全目，得旨令其自裁。</x:v>
      </x:c>
    </x:row>
    <x:row r="155" ht="34" customHeight="1">
      <x:c r="A155" s="100" t="str">
        <x:v>QH-A-YZ-0027</x:v>
      </x:c>
      <x:c r="B155" s="100" t="str">
        <x:v>文字或数值陈述</x:v>
      </x:c>
      <x:c r="C155" s="100" t="str">
        <x:v>QH-P-000007</x:v>
      </x:c>
      <x:c r="D155" s="100" t="str">
        <x:v>renamed_as</x:v>
      </x:c>
      <x:c r="E155" s="100" t="str">
        <x:v>阿其那</x:v>
      </x:c>
      <x:c r="F155" s="100" t="str">
        <x:v>雍正四年正月戊戌</x:v>
      </x:c>
      <x:c r="G155" s="108" t="str">
        <x:v>1726-02-06</x:v>
      </x:c>
      <x:c r="H155" s="108" t="str">
        <x:v>1726-02-06</x:v>
      </x:c>
      <x:c r="I155" s="100" t="str">
        <x:v>确定</x:v>
      </x:c>
      <x:c r="J155" s="100" t="str">
        <x:v>审核中</x:v>
      </x:c>
      <x:c r="K155" s="100" t="str">
        <x:v>QH-SU-YZ-QSG-0009K</x:v>
      </x:c>
      <x:c r="L155" s="100" t="str">
        <x:v>卷9；雍正四年正月戊戌</x:v>
      </x:c>
      <x:c r="M155" s="100" t="str">
        <x:v>敕令易名名曰阿其那</x:v>
      </x:c>
      <x:c r="N155" s="100" t="str">
        <x:v>支持</x:v>
      </x:c>
      <x:c r="O155" s="100" t="str">
        <x:v>明确记载</x:v>
      </x:c>
      <x:c r="P155" s="100" t="str">
        <x:v>中</x:v>
      </x:c>
      <x:c r="Q155" s="100" t="str">
        <x:v>QH-SF-QSG</x:v>
      </x:c>
      <x:c r="R155" s="100" t="str"/>
      <x:c r="S155" s="100" t="str">
        <x:v>结构化导入</x:v>
      </x:c>
      <x:c r="T155" s="100" t="str">
        <x:v>AI</x:v>
      </x:c>
      <x:c r="U155" s="100" t="str"/>
      <x:c r="V155" s="108" t="str"/>
      <x:c r="W155" s="100" t="str">
        <x:v>本纪用字阿其那。满文原义与侮辱程度待专条，不得在本条写成已核译义。子弘旺改菩萨保不并入。后出本纪不作终审。公历依通行年表，待历法库复核。世宗实录条次未钉，不假装已回条次。</x:v>
      </x:c>
    </x:row>
    <x:row r="156" ht="34" customHeight="1">
      <x:c r="A156" s="100" t="str">
        <x:v>QH-A-YZ-0028</x:v>
      </x:c>
      <x:c r="B156" s="100" t="str">
        <x:v>称号授予</x:v>
      </x:c>
      <x:c r="C156" s="100" t="str">
        <x:v>QH-P-000048</x:v>
      </x:c>
      <x:c r="D156" s="100" t="str">
        <x:v>stripped_of_title</x:v>
      </x:c>
      <x:c r="E156" s="100" t="str">
        <x:v>爵</x:v>
      </x:c>
      <x:c r="F156" s="100" t="str">
        <x:v>雍正五年六月</x:v>
      </x:c>
      <x:c r="G156" s="108" t="str">
        <x:v>1727-07-19</x:v>
      </x:c>
      <x:c r="H156" s="108" t="str">
        <x:v>1727-08-16</x:v>
      </x:c>
      <x:c r="I156" s="100" t="str">
        <x:v>确定</x:v>
      </x:c>
      <x:c r="J156" s="100" t="str">
        <x:v>审核中</x:v>
      </x:c>
      <x:c r="K156" s="100" t="str">
        <x:v>QH-SU-YZ-QSG-0009L</x:v>
      </x:c>
      <x:c r="L156" s="100" t="str">
        <x:v>卷9；雍正五年六月</x:v>
      </x:c>
      <x:c r="M156" s="100" t="str">
        <x:v>隆科多以罪削爵</x:v>
      </x:c>
      <x:c r="N156" s="100" t="str">
        <x:v>支持</x:v>
      </x:c>
      <x:c r="O156" s="100" t="str">
        <x:v>明确记载</x:v>
      </x:c>
      <x:c r="P156" s="100" t="str">
        <x:v>中</x:v>
      </x:c>
      <x:c r="Q156" s="100" t="str">
        <x:v>QH-SF-QSG</x:v>
      </x:c>
      <x:c r="R156" s="100" t="str"/>
      <x:c r="S156" s="100" t="str">
        <x:v>结构化导入</x:v>
      </x:c>
      <x:c r="T156" s="100" t="str">
        <x:v>AI</x:v>
      </x:c>
      <x:c r="U156" s="100" t="str"/>
      <x:c r="V156" s="108" t="str"/>
      <x:c r="W156" s="100" t="str">
        <x:v>本纪只到月。弟庆复袭一等公同句不并入。公历用六月起止。后出本纪不作终审。公历依通行年表，待历法库复核。世宗实录条次未钉，不假装已回条次。</x:v>
      </x:c>
    </x:row>
    <x:row r="157" ht="34" customHeight="1">
      <x:c r="A157" s="100" t="str">
        <x:v>QH-A-YZ-0029</x:v>
      </x:c>
      <x:c r="B157" s="100" t="str">
        <x:v>事件发生</x:v>
      </x:c>
      <x:c r="C157" s="100" t="str">
        <x:v>QH-P-000048</x:v>
      </x:c>
      <x:c r="D157" s="100" t="str">
        <x:v>imprisoned</x:v>
      </x:c>
      <x:c r="E157" s="100" t="str">
        <x:v>禁锢</x:v>
      </x:c>
      <x:c r="F157" s="100" t="str">
        <x:v>雍正五年十月丁亥</x:v>
      </x:c>
      <x:c r="G157" s="108" t="str">
        <x:v>1727-11-17</x:v>
      </x:c>
      <x:c r="H157" s="108" t="str">
        <x:v>1727-11-17</x:v>
      </x:c>
      <x:c r="I157" s="100" t="str">
        <x:v>确定</x:v>
      </x:c>
      <x:c r="J157" s="100" t="str">
        <x:v>审核中</x:v>
      </x:c>
      <x:c r="K157" s="100" t="str">
        <x:v>QH-SU-YZ-QSG-0009L</x:v>
      </x:c>
      <x:c r="L157" s="100" t="str">
        <x:v>卷9；雍正五年十月丁亥</x:v>
      </x:c>
      <x:c r="M157" s="100" t="str">
        <x:v>大罪五十，應斬立決……得旨，隆科多著禁錮</x:v>
      </x:c>
      <x:c r="N157" s="100" t="str">
        <x:v>支持</x:v>
      </x:c>
      <x:c r="O157" s="100" t="str">
        <x:v>明确记载</x:v>
      </x:c>
      <x:c r="P157" s="100" t="str">
        <x:v>中</x:v>
      </x:c>
      <x:c r="Q157" s="100" t="str">
        <x:v>QH-SF-QSG</x:v>
      </x:c>
      <x:c r="R157" s="100" t="str">
        <x:v>QH-CF-YZ-LONGKEDUO-COUNTS</x:v>
      </x:c>
      <x:c r="S157" s="100" t="str">
        <x:v>结构化导入</x:v>
      </x:c>
      <x:c r="T157" s="100" t="str">
        <x:v>AI</x:v>
      </x:c>
      <x:c r="U157" s="100" t="str"/>
      <x:c r="V157" s="108" t="str"/>
      <x:c r="W157" s="100" t="str">
        <x:v>本纪作大罪五十、著禁锢，未写畅春园外筑屋。列传作四十一款、畅春园外永远禁锢。款数与地点两说并存。后出本纪不作终审。公历依通行年表，待历法库复核。世宗实录条次未钉，不假装已回条次。</x:v>
      </x:c>
    </x:row>
    <x:row r="158" ht="34" customHeight="1">
      <x:c r="A158" s="100" t="str">
        <x:v>QH-A-YZ-0030</x:v>
      </x:c>
      <x:c r="B158" s="100" t="str">
        <x:v>事件发生</x:v>
      </x:c>
      <x:c r="C158" s="100" t="str">
        <x:v>QH-P-000002</x:v>
      </x:c>
      <x:c r="D158" s="100" t="str">
        <x:v>institution_noted_as_begun</x:v>
      </x:c>
      <x:c r="E158" s="100" t="str">
        <x:v>军机大臣</x:v>
      </x:c>
      <x:c r="F158" s="100" t="str">
        <x:v>雍正十年六月辛巳</x:v>
      </x:c>
      <x:c r="G158" s="108" t="str">
        <x:v>1732-08-16</x:v>
      </x:c>
      <x:c r="H158" s="108" t="str">
        <x:v>1732-08-16</x:v>
      </x:c>
      <x:c r="I158" s="100" t="str">
        <x:v>确定</x:v>
      </x:c>
      <x:c r="J158" s="100" t="str">
        <x:v>审核中</x:v>
      </x:c>
      <x:c r="K158" s="100" t="str">
        <x:v>QH-SU-YZ-QSG-0009N</x:v>
      </x:c>
      <x:c r="L158" s="100" t="str">
        <x:v>卷9；雍正十年六月辛巳</x:v>
      </x:c>
      <x:c r="M158" s="100" t="str">
        <x:v>軍機大臣之設始於此</x:v>
      </x:c>
      <x:c r="N158" s="100" t="str">
        <x:v>支持</x:v>
      </x:c>
      <x:c r="O158" s="100" t="str">
        <x:v>明确记载</x:v>
      </x:c>
      <x:c r="P158" s="100" t="str">
        <x:v>中</x:v>
      </x:c>
      <x:c r="Q158" s="100" t="str">
        <x:v>QH-SF-QSG</x:v>
      </x:c>
      <x:c r="R158" s="100" t="str"/>
      <x:c r="S158" s="100" t="str">
        <x:v>结构化导入</x:v>
      </x:c>
      <x:c r="T158" s="100" t="str">
        <x:v>AI</x:v>
      </x:c>
      <x:c r="U158" s="100" t="str"/>
      <x:c r="V158" s="108" t="str"/>
      <x:c r="W158" s="100" t="str">
        <x:v>这是本纪在十年六月恤赠条下的起置说明。通行雍正七年军机房、八年办理军机处的说法尚未打开实录或会典，不得用本条否证，也不得改写成七年。后出本纪不作终审。公历依通行年表，待历法库复核。世宗实录条次未钉，不假装已回条次。</x:v>
      </x:c>
    </x:row>
    <x:row r="159" ht="34" customHeight="1">
      <x:c r="A159" s="100" t="str">
        <x:v>QH-A-YZ-0031</x:v>
      </x:c>
      <x:c r="B159" s="100" t="str">
        <x:v>称号授予</x:v>
      </x:c>
      <x:c r="C159" s="100" t="str">
        <x:v>QH-P-000002</x:v>
      </x:c>
      <x:c r="D159" s="100" t="str">
        <x:v>oral_designated_successor</x:v>
      </x:c>
      <x:c r="E159" s="100" t="str">
        <x:v>QH-P-000019</x:v>
      </x:c>
      <x:c r="F159" s="100" t="str">
        <x:v>雍正十三年八月戊子</x:v>
      </x:c>
      <x:c r="G159" s="108" t="str">
        <x:v>1735-10-07</x:v>
      </x:c>
      <x:c r="H159" s="108" t="str">
        <x:v>1735-10-07</x:v>
      </x:c>
      <x:c r="I159" s="100" t="str">
        <x:v>确定</x:v>
      </x:c>
      <x:c r="J159" s="100" t="str">
        <x:v>审核中</x:v>
      </x:c>
      <x:c r="K159" s="100" t="str">
        <x:v>QH-SU-YZ-QSG-0009M</x:v>
      </x:c>
      <x:c r="L159" s="100" t="str">
        <x:v>卷9；雍正十三年八月戊子</x:v>
      </x:c>
      <x:c r="M159" s="100" t="str">
        <x:v>戊子，上大漸，宣旨傳位皇四子寶親王弘曆</x:v>
      </x:c>
      <x:c r="N159" s="100" t="str">
        <x:v>支持</x:v>
      </x:c>
      <x:c r="O159" s="100" t="str">
        <x:v>明确记载</x:v>
      </x:c>
      <x:c r="P159" s="100" t="str">
        <x:v>中</x:v>
      </x:c>
      <x:c r="Q159" s="100" t="str">
        <x:v>QH-SF-QSG</x:v>
      </x:c>
      <x:c r="R159" s="100" t="str"/>
      <x:c r="S159" s="100" t="str">
        <x:v>结构化导入</x:v>
      </x:c>
      <x:c r="T159" s="100" t="str">
        <x:v>AI</x:v>
      </x:c>
      <x:c r="U159" s="100" t="str"/>
      <x:c r="V159" s="108" t="str"/>
      <x:c r="W159" s="100" t="str">
        <x:v>前一日丁亥不豫，次日己丑崩。三人分日。本条只证本纪所记传位宣旨，不证密旨匣中原件。后出本纪不作终审。公历依通行年表，待历法库复核。世宗实录条次未钉，不假装已回条次。</x:v>
      </x:c>
    </x:row>
    <x:row r="160" ht="34" customHeight="1">
      <x:c r="A160" s="100" t="str">
        <x:v>QH-A-YZ-0032</x:v>
      </x:c>
      <x:c r="B160" s="100" t="str">
        <x:v>事件发生</x:v>
      </x:c>
      <x:c r="C160" s="100" t="str">
        <x:v>QH-P-000002</x:v>
      </x:c>
      <x:c r="D160" s="100" t="str">
        <x:v>died_on</x:v>
      </x:c>
      <x:c r="E160" s="100" t="str">
        <x:v>崩年五十八</x:v>
      </x:c>
      <x:c r="F160" s="100" t="str">
        <x:v>雍正十三年八月己丑</x:v>
      </x:c>
      <x:c r="G160" s="108" t="str">
        <x:v>1735-10-08</x:v>
      </x:c>
      <x:c r="H160" s="108" t="str">
        <x:v>1735-10-08</x:v>
      </x:c>
      <x:c r="I160" s="100" t="str">
        <x:v>确定</x:v>
      </x:c>
      <x:c r="J160" s="100" t="str">
        <x:v>审核中</x:v>
      </x:c>
      <x:c r="K160" s="100" t="str">
        <x:v>QH-SU-YZ-QSG-0009M</x:v>
      </x:c>
      <x:c r="L160" s="100" t="str">
        <x:v>卷9；雍正十三年八月己丑</x:v>
      </x:c>
      <x:c r="M160" s="100" t="str">
        <x:v>己丑，上崩，年五十八</x:v>
      </x:c>
      <x:c r="N160" s="100" t="str">
        <x:v>支持</x:v>
      </x:c>
      <x:c r="O160" s="100" t="str">
        <x:v>明确记载</x:v>
      </x:c>
      <x:c r="P160" s="100" t="str">
        <x:v>中</x:v>
      </x:c>
      <x:c r="Q160" s="100" t="str">
        <x:v>QH-SF-QSG</x:v>
      </x:c>
      <x:c r="R160" s="100" t="str">
        <x:v>QH-CF-YZ-DEATH</x:v>
      </x:c>
      <x:c r="S160" s="100" t="str">
        <x:v>结构化导入</x:v>
      </x:c>
      <x:c r="T160" s="100" t="str">
        <x:v>AI</x:v>
      </x:c>
      <x:c r="U160" s="100" t="str"/>
      <x:c r="V160" s="108" t="str"/>
      <x:c r="W160" s="100" t="str">
        <x:v>本纪只写崩与享年，未写圆明园，未写丹药。丹药说见对照栏 QH-L-0008，不得补进本条。世宗实录崩逝条未打开。后出本纪不作终审。公历依通行年表，待历法库复核。世宗实录崩逝条已钉：QH-SU-YZ-QSL-0159A，己丑子刻上崩，无地点死因。</x:v>
      </x:c>
    </x:row>
    <x:row r="161" ht="34" customHeight="1">
      <x:c r="A161" s="100" t="str">
        <x:v>QH-A-YZ-0033</x:v>
      </x:c>
      <x:c r="B161" s="100" t="str">
        <x:v>事件发生</x:v>
      </x:c>
      <x:c r="C161" s="100" t="str">
        <x:v>QH-P-000002</x:v>
      </x:c>
      <x:c r="D161" s="100" t="str">
        <x:v>buried_at</x:v>
      </x:c>
      <x:c r="E161" s="100" t="str">
        <x:v>泰陵</x:v>
      </x:c>
      <x:c r="F161" s="100" t="str">
        <x:v>乾隆二年三月</x:v>
      </x:c>
      <x:c r="G161" s="108" t="str">
        <x:v>1737-03-31</x:v>
      </x:c>
      <x:c r="H161" s="108" t="str">
        <x:v>1737-04-29</x:v>
      </x:c>
      <x:c r="I161" s="100" t="str">
        <x:v>确定</x:v>
      </x:c>
      <x:c r="J161" s="100" t="str">
        <x:v>审核中</x:v>
      </x:c>
      <x:c r="K161" s="100" t="str">
        <x:v>QH-SU-YZ-QSG-0009M</x:v>
      </x:c>
      <x:c r="L161" s="100" t="str">
        <x:v>卷9；乾隆二年三月</x:v>
      </x:c>
      <x:c r="M161" s="100" t="str">
        <x:v>乾隆二年三月，葬泰陵</x:v>
      </x:c>
      <x:c r="N161" s="100" t="str">
        <x:v>支持</x:v>
      </x:c>
      <x:c r="O161" s="100" t="str">
        <x:v>明确记载</x:v>
      </x:c>
      <x:c r="P161" s="100" t="str">
        <x:v>中</x:v>
      </x:c>
      <x:c r="Q161" s="100" t="str">
        <x:v>QH-SF-QSG</x:v>
      </x:c>
      <x:c r="R161" s="100" t="str"/>
      <x:c r="S161" s="100" t="str">
        <x:v>结构化导入</x:v>
      </x:c>
      <x:c r="T161" s="100" t="str">
        <x:v>AI</x:v>
      </x:c>
      <x:c r="U161" s="100" t="str"/>
      <x:c r="V161" s="108" t="str"/>
      <x:c r="W161" s="100" t="str">
        <x:v>原纪年只到月。今地见 QH-ST-0022。不得写成遵化东陵。后出本纪不作终审。公历依通行年表，待历法库复核。世宗实录条次未钉，不假装已回条次。</x:v>
      </x:c>
    </x:row>
    <x:row r="162" ht="34" customHeight="1">
      <x:c r="A162" s="100" t="str">
        <x:v>QH-A-YZ-0034</x:v>
      </x:c>
      <x:c r="B162" s="100" t="str">
        <x:v>人物关系</x:v>
      </x:c>
      <x:c r="C162" s="100" t="str">
        <x:v>QH-P-000048</x:v>
      </x:c>
      <x:c r="D162" s="100" t="str">
        <x:v>maternal_uncle_of_empress</x:v>
      </x:c>
      <x:c r="E162" s="100" t="str">
        <x:v>QH-P-000024</x:v>
      </x:c>
      <x:c r="F162" s="100" t="str">
        <x:v>列传总述</x:v>
      </x:c>
      <x:c r="G162" s="108" t="str">
        <x:v>1668-01-01</x:v>
      </x:c>
      <x:c r="H162" s="108" t="str">
        <x:v>1728-08-05</x:v>
      </x:c>
      <x:c r="I162" s="100" t="str">
        <x:v>确定</x:v>
      </x:c>
      <x:c r="J162" s="100" t="str">
        <x:v>审核中</x:v>
      </x:c>
      <x:c r="K162" s="100" t="str">
        <x:v>QH-SU-YZ-QSG-0295A</x:v>
      </x:c>
      <x:c r="L162" s="100" t="str">
        <x:v>卷295；隆科多传首句</x:v>
      </x:c>
      <x:c r="M162" s="100" t="str">
        <x:v>一等公佟國維子，孝懿仁皇后弟也</x:v>
      </x:c>
      <x:c r="N162" s="100" t="str">
        <x:v>支持</x:v>
      </x:c>
      <x:c r="O162" s="100" t="str">
        <x:v>明确记载</x:v>
      </x:c>
      <x:c r="P162" s="100" t="str">
        <x:v>中</x:v>
      </x:c>
      <x:c r="Q162" s="100" t="str">
        <x:v>QH-SF-QSG</x:v>
      </x:c>
      <x:c r="R162" s="100" t="str"/>
      <x:c r="S162" s="100" t="str">
        <x:v>结构化导入</x:v>
      </x:c>
      <x:c r="T162" s="100" t="str">
        <x:v>AI</x:v>
      </x:c>
      <x:c r="U162" s="100" t="str"/>
      <x:c r="V162" s="108" t="str"/>
      <x:c r="W162" s="100" t="str">
        <x:v>证明列传所记外戚身份。公历字段只标大约生卒窗口，不是生卒已核。孝懿是佟佳氏 QH-P-000024。后出列传不作终审。可与本纪矛盾，两说并存。世宗实录条次未钉。</x:v>
      </x:c>
    </x:row>
    <x:row r="163" ht="34" customHeight="1">
      <x:c r="A163" s="100" t="str">
        <x:v>QH-A-YZ-0035</x:v>
      </x:c>
      <x:c r="B163" s="100" t="str">
        <x:v>事件参与</x:v>
      </x:c>
      <x:c r="C163" s="100" t="str">
        <x:v>QH-P-000048</x:v>
      </x:c>
      <x:c r="D163" s="100" t="str">
        <x:v>received_deathbed_charge</x:v>
      </x:c>
      <x:c r="E163" s="100" t="str">
        <x:v>召受顾命</x:v>
      </x:c>
      <x:c r="F163" s="100" t="str">
        <x:v>康熙六十一年十一月</x:v>
      </x:c>
      <x:c r="G163" s="108" t="str">
        <x:v>1722-12-20</x:v>
      </x:c>
      <x:c r="H163" s="108" t="str">
        <x:v>1722-12-20</x:v>
      </x:c>
      <x:c r="I163" s="100" t="str">
        <x:v>确定</x:v>
      </x:c>
      <x:c r="J163" s="100" t="str">
        <x:v>审核中</x:v>
      </x:c>
      <x:c r="K163" s="100" t="str">
        <x:v>QH-SU-YZ-QSG-0295A</x:v>
      </x:c>
      <x:c r="L163" s="100" t="str">
        <x:v>卷295；隆科多传</x:v>
      </x:c>
      <x:c r="M163" s="100" t="str">
        <x:v>聖祖大漸，召受顧命</x:v>
      </x:c>
      <x:c r="N163" s="100" t="str">
        <x:v>支持</x:v>
      </x:c>
      <x:c r="O163" s="100" t="str">
        <x:v>明确记载</x:v>
      </x:c>
      <x:c r="P163" s="100" t="str">
        <x:v>中</x:v>
      </x:c>
      <x:c r="Q163" s="100" t="str">
        <x:v>QH-SF-QSG</x:v>
      </x:c>
      <x:c r="R163" s="100" t="str">
        <x:v>QH-CF-KX-SUCCESSION</x:v>
      </x:c>
      <x:c r="S163" s="100" t="str">
        <x:v>结构化导入</x:v>
      </x:c>
      <x:c r="T163" s="100" t="str">
        <x:v>AI</x:v>
      </x:c>
      <x:c r="U163" s="100" t="str"/>
      <x:c r="V163" s="108" t="str"/>
      <x:c r="W163" s="100" t="str">
        <x:v>列传作召受顾命。实录寅刻名单有隆科多在御榻前。顾命是后出传文用词，不得写成已核官职名。后出列传不作终审。可与本纪矛盾，两说并存。世宗实录条次未钉。</x:v>
      </x:c>
    </x:row>
    <x:row r="164" ht="34" customHeight="1">
      <x:c r="A164" s="100" t="str">
        <x:v>QH-A-YZ-0036</x:v>
      </x:c>
      <x:c r="B164" s="100" t="str">
        <x:v>事件发生</x:v>
      </x:c>
      <x:c r="C164" s="100" t="str">
        <x:v>QH-P-000048</x:v>
      </x:c>
      <x:c r="D164" s="100" t="str">
        <x:v>imprisoned_at</x:v>
      </x:c>
      <x:c r="E164" s="100" t="str">
        <x:v>畅春园外</x:v>
      </x:c>
      <x:c r="F164" s="100" t="str">
        <x:v>雍正五年</x:v>
      </x:c>
      <x:c r="G164" s="108" t="str">
        <x:v>1727-01-22</x:v>
      </x:c>
      <x:c r="H164" s="108" t="str">
        <x:v>1728-02-09</x:v>
      </x:c>
      <x:c r="I164" s="100" t="str">
        <x:v>确定</x:v>
      </x:c>
      <x:c r="J164" s="100" t="str">
        <x:v>审核中</x:v>
      </x:c>
      <x:c r="K164" s="100" t="str">
        <x:v>QH-SU-YZ-QSG-0295A</x:v>
      </x:c>
      <x:c r="L164" s="100" t="str">
        <x:v>卷295；隆科多传五年狱辞</x:v>
      </x:c>
      <x:c r="M164" s="100" t="str">
        <x:v>於暢春園外築屋三楹，永遠禁錮</x:v>
      </x:c>
      <x:c r="N164" s="100" t="str">
        <x:v>支持</x:v>
      </x:c>
      <x:c r="O164" s="100" t="str">
        <x:v>明确记载</x:v>
      </x:c>
      <x:c r="P164" s="100" t="str">
        <x:v>中</x:v>
      </x:c>
      <x:c r="Q164" s="100" t="str">
        <x:v>QH-SF-QSG</x:v>
      </x:c>
      <x:c r="R164" s="100" t="str">
        <x:v>QH-CF-YZ-LONGKEDUO-COUNTS</x:v>
      </x:c>
      <x:c r="S164" s="100" t="str">
        <x:v>结构化导入</x:v>
      </x:c>
      <x:c r="T164" s="100" t="str">
        <x:v>AI</x:v>
      </x:c>
      <x:c r="U164" s="100" t="str"/>
      <x:c r="V164" s="108" t="str"/>
      <x:c r="W164" s="100" t="str">
        <x:v>列传：四十一款；上谕称大臣承旨者惟隆科多一人，免正法，畅春园外筑屋三楹永远禁锢。本纪作大罪五十、著禁锢，未写此处。两说并存。公历用雍正五年整年。后出列传不作终审。可与本纪矛盾，两说并存。世宗实录条次未钉。</x:v>
      </x:c>
    </x:row>
    <x:row r="165" ht="34" customHeight="1">
      <x:c r="A165" s="100" t="str">
        <x:v>QH-A-YZ-0037</x:v>
      </x:c>
      <x:c r="B165" s="100" t="str">
        <x:v>事件发生</x:v>
      </x:c>
      <x:c r="C165" s="100" t="str">
        <x:v>QH-P-000048</x:v>
      </x:c>
      <x:c r="D165" s="100" t="str">
        <x:v>died_on</x:v>
      </x:c>
      <x:c r="E165" s="100" t="str">
        <x:v>死于禁所</x:v>
      </x:c>
      <x:c r="F165" s="100" t="str">
        <x:v>雍正六年六月</x:v>
      </x:c>
      <x:c r="G165" s="108" t="str">
        <x:v>1728-07-07</x:v>
      </x:c>
      <x:c r="H165" s="108" t="str">
        <x:v>1728-08-05</x:v>
      </x:c>
      <x:c r="I165" s="100" t="str">
        <x:v>确定</x:v>
      </x:c>
      <x:c r="J165" s="100" t="str">
        <x:v>审核中</x:v>
      </x:c>
      <x:c r="K165" s="100" t="str">
        <x:v>QH-SU-YZ-QSG-0295A</x:v>
      </x:c>
      <x:c r="L165" s="100" t="str">
        <x:v>卷295；隆科多传</x:v>
      </x:c>
      <x:c r="M165" s="100" t="str">
        <x:v>六年六月，隆科多死於禁所</x:v>
      </x:c>
      <x:c r="N165" s="100" t="str">
        <x:v>支持</x:v>
      </x:c>
      <x:c r="O165" s="100" t="str">
        <x:v>明确记载</x:v>
      </x:c>
      <x:c r="P165" s="100" t="str">
        <x:v>中</x:v>
      </x:c>
      <x:c r="Q165" s="100" t="str">
        <x:v>QH-SF-QSG</x:v>
      </x:c>
      <x:c r="R165" s="100" t="str"/>
      <x:c r="S165" s="100" t="str">
        <x:v>结构化导入</x:v>
      </x:c>
      <x:c r="T165" s="100" t="str">
        <x:v>AI</x:v>
      </x:c>
      <x:c r="U165" s="100" t="str"/>
      <x:c r="V165" s="108" t="str"/>
      <x:c r="W165" s="100" t="str">
        <x:v>列传只到月。死因未写。不得写成赐死或吕四娘。后出列传不作终审。可与本纪矛盾，两说并存。世宗实录条次未钉。</x:v>
      </x:c>
    </x:row>
    <x:row r="166" ht="34" customHeight="1">
      <x:c r="A166" s="100" t="str">
        <x:v>QH-A-YZ-0038</x:v>
      </x:c>
      <x:c r="B166" s="100" t="str">
        <x:v>事件发生</x:v>
      </x:c>
      <x:c r="C166" s="100" t="str">
        <x:v>QH-P-000049</x:v>
      </x:c>
      <x:c r="D166" s="100" t="str">
        <x:v>granted_death</x:v>
      </x:c>
      <x:c r="E166" s="100" t="str">
        <x:v>狱中令自裁</x:v>
      </x:c>
      <x:c r="F166" s="100" t="str">
        <x:v>雍正三年十二月</x:v>
      </x:c>
      <x:c r="G166" s="108" t="str">
        <x:v>1726-01-13</x:v>
      </x:c>
      <x:c r="H166" s="108" t="str">
        <x:v>1726-01-13</x:v>
      </x:c>
      <x:c r="I166" s="100" t="str">
        <x:v>确定</x:v>
      </x:c>
      <x:c r="J166" s="100" t="str">
        <x:v>审核中</x:v>
      </x:c>
      <x:c r="K166" s="100" t="str">
        <x:v>QH-SU-YZ-QSG-0295B</x:v>
      </x:c>
      <x:c r="L166" s="100" t="str">
        <x:v>卷295；年羹尧传十二月</x:v>
      </x:c>
      <x:c r="M166" s="100" t="str">
        <x:v>齎詔諭羹堯獄中令自裁</x:v>
      </x:c>
      <x:c r="N166" s="100" t="str">
        <x:v>支持</x:v>
      </x:c>
      <x:c r="O166" s="100" t="str">
        <x:v>明确记载</x:v>
      </x:c>
      <x:c r="P166" s="100" t="str">
        <x:v>中</x:v>
      </x:c>
      <x:c r="Q166" s="100" t="str">
        <x:v>QH-SF-QSG</x:v>
      </x:c>
      <x:c r="R166" s="100" t="str">
        <x:v>QH-CF-YZ-NIAN-DEATH</x:v>
      </x:c>
      <x:c r="S166" s="100" t="str">
        <x:v>结构化导入</x:v>
      </x:c>
      <x:c r="T166" s="100" t="str">
        <x:v>AI</x:v>
      </x:c>
      <x:c r="U166" s="100" t="str"/>
      <x:c r="V166" s="108" t="str"/>
      <x:c r="W166" s="100" t="str">
        <x:v>列传作自裁；本纪作赐死。同传记九十二款。不得写成年妃致死。后出列传不作终审。可与本纪矛盾，两说并存。世宗实录条次未钉。</x:v>
      </x:c>
    </x:row>
    <x:row r="167" ht="34" customHeight="1">
      <x:c r="A167" s="100" t="str">
        <x:v>QH-A-YZ-0039</x:v>
      </x:c>
      <x:c r="B167" s="100" t="str">
        <x:v>事件发生</x:v>
      </x:c>
      <x:c r="C167" s="100" t="str">
        <x:v>QH-P-000002</x:v>
      </x:c>
      <x:c r="D167" s="100" t="str">
        <x:v>accession_occurred</x:v>
      </x:c>
      <x:c r="E167" s="100" t="str">
        <x:v>即皇帝位</x:v>
      </x:c>
      <x:c r="F167" s="100" t="str">
        <x:v>康熙六十一年十一月二十日</x:v>
      </x:c>
      <x:c r="G167" s="108" t="str">
        <x:v>1722-12-27</x:v>
      </x:c>
      <x:c r="H167" s="108" t="str">
        <x:v>1722-12-27</x:v>
      </x:c>
      <x:c r="I167" s="100" t="str">
        <x:v>确定</x:v>
      </x:c>
      <x:c r="J167" s="100" t="str">
        <x:v>审核中</x:v>
      </x:c>
      <x:c r="K167" s="100" t="str">
        <x:v>QH-SU-YZ-QSL-0001A</x:v>
      </x:c>
      <x:c r="L167" s="100" t="str">
        <x:v>卷1；康熙六十一年十一月二十日；1/5</x:v>
      </x:c>
      <x:c r="M167" s="100" t="str">
        <x:v>辛丑。上即皇帝位。……詣梓宮前、跪、上香、告受命於大行皇帝。……御太和殿。升寶座。</x:v>
      </x:c>
      <x:c r="N167" s="100" t="str">
        <x:v>支持</x:v>
      </x:c>
      <x:c r="O167" s="100" t="str">
        <x:v>明确记载</x:v>
      </x:c>
      <x:c r="P167" s="100" t="str">
        <x:v>强</x:v>
      </x:c>
      <x:c r="Q167" s="100" t="str">
        <x:v>QH-SF-QSL-YZ</x:v>
      </x:c>
      <x:c r="R167" s="100" t="str"/>
      <x:c r="S167" s="100" t="str">
        <x:v>结构化导入</x:v>
      </x:c>
      <x:c r="T167" s="100" t="str">
        <x:v>AI</x:v>
      </x:c>
      <x:c r="U167" s="100" t="str"/>
      <x:c r="V167" s="108" t="str"/>
      <x:c r="W167" s="100" t="str">
        <x:v>即位礼在辛丑二十日，距甲午崩日七日。实录仪节与康熙实录口谕遗诏分层保存，不互相覆盖。公历依通行年表，待历法库复核。</x:v>
      </x:c>
    </x:row>
    <x:row r="168" ht="34" customHeight="1">
      <x:c r="A168" s="100" t="str">
        <x:v>QH-A-YZ-0040</x:v>
      </x:c>
      <x:c r="B168" s="100" t="str">
        <x:v>事件发生</x:v>
      </x:c>
      <x:c r="C168" s="100" t="str">
        <x:v>QH-P-000002</x:v>
      </x:c>
      <x:c r="D168" s="100" t="str">
        <x:v>announced_next_reign_era</x:v>
      </x:c>
      <x:c r="E168" s="100" t="str">
        <x:v>以明年為雍正元年</x:v>
      </x:c>
      <x:c r="F168" s="100" t="str">
        <x:v>康熙六十一年十一月二十日</x:v>
      </x:c>
      <x:c r="G168" s="108" t="str">
        <x:v>1722-12-27</x:v>
      </x:c>
      <x:c r="H168" s="108" t="str">
        <x:v>1722-12-27</x:v>
      </x:c>
      <x:c r="I168" s="100" t="str">
        <x:v>确定</x:v>
      </x:c>
      <x:c r="J168" s="100" t="str">
        <x:v>已采纳</x:v>
      </x:c>
      <x:c r="K168" s="100" t="str">
        <x:v>QH-SU-YZ-QSL-0001B</x:v>
      </x:c>
      <x:c r="L168" s="100" t="str">
        <x:v>卷1；康熙六十一年十一月二十日；2/5</x:v>
      </x:c>
      <x:c r="M168" s="100" t="str">
        <x:v>於是月二十日。祗告天地宗廟社稷。即皇帝位。以明年為雍正元年。</x:v>
      </x:c>
      <x:c r="N168" s="100" t="str">
        <x:v>支持</x:v>
      </x:c>
      <x:c r="O168" s="100" t="str">
        <x:v>明确记载</x:v>
      </x:c>
      <x:c r="P168" s="100" t="str">
        <x:v>强</x:v>
      </x:c>
      <x:c r="Q168" s="100" t="str">
        <x:v>QH-SF-QSL-YZ</x:v>
      </x:c>
      <x:c r="R168" s="100" t="str"/>
      <x:c r="S168" s="100" t="str">
        <x:v>结构化导入</x:v>
      </x:c>
      <x:c r="T168" s="100" t="str">
        <x:v>AI</x:v>
      </x:c>
      <x:c r="U168" s="100" t="str">
        <x:v>zonglinxie-cyber</x:v>
      </x:c>
      <x:c r="V168" s="108" t="str">
        <x:v>2026-08-15</x:v>
      </x:c>
      <x:c r="W168" s="100" t="str">
        <x:v>即位诏文本。诏自述皇考升遐之日诏朕缵承大统，是诏书自述，不证明遗诏原件真伪；诏述皇二子两废是政治叙事，不作废案细节终审。公历依通行年表，待历法库复核。</x:v>
      </x:c>
    </x:row>
    <x:row r="169" ht="34" customHeight="1">
      <x:c r="A169" s="100" t="str">
        <x:v>QH-A-YZ-0041</x:v>
      </x:c>
      <x:c r="B169" s="100" t="str">
        <x:v>事件发生</x:v>
      </x:c>
      <x:c r="C169" s="100" t="str">
        <x:v>QH-P-000002</x:v>
      </x:c>
      <x:c r="D169" s="100" t="str">
        <x:v>died_on</x:v>
      </x:c>
      <x:c r="E169" s="100" t="str">
        <x:v>子刻上崩</x:v>
      </x:c>
      <x:c r="F169" s="100" t="str">
        <x:v>雍正十三年八月二十三日</x:v>
      </x:c>
      <x:c r="G169" s="108" t="str">
        <x:v>1735-10-08</x:v>
      </x:c>
      <x:c r="H169" s="108" t="str">
        <x:v>1735-10-08</x:v>
      </x:c>
      <x:c r="I169" s="100" t="str">
        <x:v>确定</x:v>
      </x:c>
      <x:c r="J169" s="100" t="str">
        <x:v>审核中</x:v>
      </x:c>
      <x:c r="K169" s="100" t="str">
        <x:v>QH-SU-YZ-QSL-0159A</x:v>
      </x:c>
      <x:c r="L169" s="100" t="str">
        <x:v>卷159；雍正十三年八月二十三日；1/5</x:v>
      </x:c>
      <x:c r="M169" s="100" t="str">
        <x:v>己丑。子刻。上崩。</x:v>
      </x:c>
      <x:c r="N169" s="100" t="str">
        <x:v>支持</x:v>
      </x:c>
      <x:c r="O169" s="100" t="str">
        <x:v>明确记载</x:v>
      </x:c>
      <x:c r="P169" s="100" t="str">
        <x:v>强</x:v>
      </x:c>
      <x:c r="Q169" s="100" t="str">
        <x:v>QH-SF-QSL-YZ</x:v>
      </x:c>
      <x:c r="R169" s="100" t="str">
        <x:v>QH-CF-YZ-DEATH</x:v>
      </x:c>
      <x:c r="S169" s="100" t="str">
        <x:v>结构化导入</x:v>
      </x:c>
      <x:c r="T169" s="100" t="str">
        <x:v>AI</x:v>
      </x:c>
      <x:c r="U169" s="100" t="str"/>
      <x:c r="V169" s="108" t="str"/>
      <x:c r="W169" s="100" t="str">
        <x:v>实录崩条不写地点，不写死因，不写疾大渐。与本纪己丑崩年五十八（QH-A-YZ-0032）同日异文。丹药与中毒说不得补入。子刻属八月二十三日凌晨，不作两日。公历依通行年表，待历法库复核。</x:v>
      </x:c>
    </x:row>
    <x:row r="170" ht="34" customHeight="1">
      <x:c r="A170" s="100" t="str">
        <x:v>QH-A-YZ-0042</x:v>
      </x:c>
      <x:c r="B170" s="100" t="str">
        <x:v>事件发生</x:v>
      </x:c>
      <x:c r="C170" s="100" t="str">
        <x:v>QH-P-000049</x:v>
      </x:c>
      <x:c r="D170" s="100" t="str">
        <x:v>granted_death</x:v>
      </x:c>
      <x:c r="E170" s="100" t="str">
        <x:v>令其自裁</x:v>
      </x:c>
      <x:c r="F170" s="100" t="str">
        <x:v>雍正三年十二月十一日</x:v>
      </x:c>
      <x:c r="G170" s="108" t="str">
        <x:v>1726-01-13</x:v>
      </x:c>
      <x:c r="H170" s="108" t="str">
        <x:v>1726-01-13</x:v>
      </x:c>
      <x:c r="I170" s="100" t="str">
        <x:v>确定</x:v>
      </x:c>
      <x:c r="J170" s="100" t="str">
        <x:v>审核中</x:v>
      </x:c>
      <x:c r="K170" s="100" t="str">
        <x:v>QH-SU-YZ-QSL-0039A</x:v>
      </x:c>
      <x:c r="L170" s="100" t="str">
        <x:v>卷39；雍正三年十二月十一日；1/3</x:v>
      </x:c>
      <x:c r="M170" s="100" t="str">
        <x:v>年羹堯所犯至九十二大罪。……得旨、……朕念年羹堯青海之功。不忍加以極刑。著交步軍統領阿齊圖、令其自裁。</x:v>
      </x:c>
      <x:c r="N170" s="100" t="str">
        <x:v>支持</x:v>
      </x:c>
      <x:c r="O170" s="100" t="str">
        <x:v>明确记载</x:v>
      </x:c>
      <x:c r="P170" s="100" t="str">
        <x:v>强</x:v>
      </x:c>
      <x:c r="Q170" s="100" t="str">
        <x:v>QH-SF-QSL-YZ</x:v>
      </x:c>
      <x:c r="R170" s="100" t="str">
        <x:v>QH-CF-YZ-NIAN-DEATH</x:v>
      </x:c>
      <x:c r="S170" s="100" t="str">
        <x:v>结构化导入</x:v>
      </x:c>
      <x:c r="T170" s="100" t="str">
        <x:v>AI</x:v>
      </x:c>
      <x:c r="U170" s="100" t="str"/>
      <x:c r="V170" s="108" t="str"/>
      <x:c r="W170" s="100" t="str">
        <x:v>实录作令其自裁；本纪赐死（QH-A-YZ-0026）与列传狱中令自裁（QH-A-YZ-0038）三说并存。九十二款全目见本条，与本纪款数主张互证。年富立斩等处置未拆。公历依通行年表，待历法库复核。</x:v>
      </x:c>
    </x:row>
    <x:row r="171" ht="34" customHeight="1">
      <x:c r="A171" s="100" t="str">
        <x:v>QH-A-QL-0001</x:v>
      </x:c>
      <x:c r="B171" s="100" t="str">
        <x:v>事件发生</x:v>
      </x:c>
      <x:c r="C171" s="100" t="str">
        <x:v>QH-P-000054</x:v>
      </x:c>
      <x:c r="D171" s="100" t="str">
        <x:v>accession_occurred</x:v>
      </x:c>
      <x:c r="E171" s="100" t="str">
        <x:v>即皇帝位</x:v>
      </x:c>
      <x:c r="F171" s="100" t="str">
        <x:v>嘉庆元年正月戊申朔</x:v>
      </x:c>
      <x:c r="G171" s="108" t="str">
        <x:v>1796-02-09</x:v>
      </x:c>
      <x:c r="H171" s="108" t="str">
        <x:v>1796-02-09</x:v>
      </x:c>
      <x:c r="I171" s="100" t="str">
        <x:v>不确定</x:v>
      </x:c>
      <x:c r="J171" s="100" t="str">
        <x:v>审核中</x:v>
      </x:c>
      <x:c r="K171" s="100" t="str">
        <x:v>QH-SU-QL-QSG-0015B</x:v>
      </x:c>
      <x:c r="L171" s="100" t="str">
        <x:v>卷15；嘉庆元年正月戊申朔</x:v>
      </x:c>
      <x:c r="M171" s="100" t="str">
        <x:v>嘉慶元年正月戊申朔，舉行授受大典，立皇太子為皇帝</x:v>
      </x:c>
      <x:c r="N171" s="100" t="str">
        <x:v>支持</x:v>
      </x:c>
      <x:c r="O171" s="100" t="str">
        <x:v>明确记载</x:v>
      </x:c>
      <x:c r="P171" s="100" t="str">
        <x:v>中</x:v>
      </x:c>
      <x:c r="Q171" s="100" t="str">
        <x:v>QH-SF-QSG</x:v>
      </x:c>
      <x:c r="R171" s="100" t="str">
        <x:v>QH-CF-QL-JQ-ABDICATION-GANZHI</x:v>
      </x:c>
      <x:c r="S171" s="100" t="str">
        <x:v>结构化导入</x:v>
      </x:c>
      <x:c r="T171" s="100" t="str">
        <x:v>AI</x:v>
      </x:c>
      <x:c r="U171" s="100" t="str"/>
      <x:c r="V171" s="108" t="str"/>
      <x:c r="W171" s="100" t="str">
        <x:v>卷15作戊申，卷16作戊辰；两卷均指正月朔同一授受大典。公历依通行年表，待历法库复核。</x:v>
      </x:c>
    </x:row>
    <x:row r="172" ht="34" customHeight="1">
      <x:c r="A172" s="100" t="str">
        <x:v>QH-A-QL-0002</x:v>
      </x:c>
      <x:c r="B172" s="100" t="str">
        <x:v>称号授予</x:v>
      </x:c>
      <x:c r="C172" s="100" t="str">
        <x:v>QH-P-000019</x:v>
      </x:c>
      <x:c r="D172" s="100" t="str">
        <x:v>honored_as</x:v>
      </x:c>
      <x:c r="E172" s="100" t="str">
        <x:v>太上皇帝</x:v>
      </x:c>
      <x:c r="F172" s="100" t="str">
        <x:v>嘉庆元年正月戊申朔</x:v>
      </x:c>
      <x:c r="G172" s="108" t="str">
        <x:v>1796-02-09</x:v>
      </x:c>
      <x:c r="H172" s="108" t="str">
        <x:v>1796-02-09</x:v>
      </x:c>
      <x:c r="I172" s="100" t="str">
        <x:v>确定</x:v>
      </x:c>
      <x:c r="J172" s="100" t="str">
        <x:v>审核中</x:v>
      </x:c>
      <x:c r="K172" s="100" t="str">
        <x:v>QH-SU-QL-QSG-0015B</x:v>
      </x:c>
      <x:c r="L172" s="100" t="str">
        <x:v>卷15；授受大典</x:v>
      </x:c>
      <x:c r="M172" s="100" t="str">
        <x:v>尊上為太上皇帝</x:v>
      </x:c>
      <x:c r="N172" s="100" t="str">
        <x:v>支持</x:v>
      </x:c>
      <x:c r="O172" s="100" t="str">
        <x:v>明确记载</x:v>
      </x:c>
      <x:c r="P172" s="100" t="str">
        <x:v>中</x:v>
      </x:c>
      <x:c r="Q172" s="100" t="str">
        <x:v>QH-SF-QSG</x:v>
      </x:c>
      <x:c r="R172" s="100" t="str"/>
      <x:c r="S172" s="100" t="str">
        <x:v>结构化导入</x:v>
      </x:c>
      <x:c r="T172" s="100" t="str">
        <x:v>AI</x:v>
      </x:c>
      <x:c r="U172" s="100" t="str"/>
      <x:c r="V172" s="108" t="str"/>
      <x:c r="W172" s="100" t="str">
        <x:v>证明卷15的称号记载，不推定实际权力已完全移交。</x:v>
      </x:c>
    </x:row>
    <x:row r="173" ht="34" customHeight="1">
      <x:c r="A173" s="100" t="str">
        <x:v>QH-A-QL-0003</x:v>
      </x:c>
      <x:c r="B173" s="100" t="str">
        <x:v>文字或数值陈述</x:v>
      </x:c>
      <x:c r="C173" s="100" t="str">
        <x:v>QH-P-000019</x:v>
      </x:c>
      <x:c r="D173" s="100" t="str">
        <x:v>reported_in_edict</x:v>
      </x:c>
      <x:c r="E173" s="100" t="str">
        <x:v>军国重务仍奏闻，秉训裁决，大事降旨敕</x:v>
      </x:c>
      <x:c r="F173" s="100" t="str">
        <x:v>嘉庆元年正月戊申朔</x:v>
      </x:c>
      <x:c r="G173" s="108" t="str">
        <x:v>1796-02-09</x:v>
      </x:c>
      <x:c r="H173" s="108" t="str">
        <x:v>1796-02-09</x:v>
      </x:c>
      <x:c r="I173" s="100" t="str">
        <x:v>确定</x:v>
      </x:c>
      <x:c r="J173" s="100" t="str">
        <x:v>审核中</x:v>
      </x:c>
      <x:c r="K173" s="100" t="str">
        <x:v>QH-SU-QL-QSG-0015B</x:v>
      </x:c>
      <x:c r="L173" s="100" t="str">
        <x:v>卷15；授受大典</x:v>
      </x:c>
      <x:c r="M173" s="100" t="str">
        <x:v>軍國重務仍奏聞，秉訓裁決，大事降旨敕</x:v>
      </x:c>
      <x:c r="N173" s="100" t="str">
        <x:v>支持</x:v>
      </x:c>
      <x:c r="O173" s="100" t="str">
        <x:v>明确记载</x:v>
      </x:c>
      <x:c r="P173" s="100" t="str">
        <x:v>中</x:v>
      </x:c>
      <x:c r="Q173" s="100" t="str">
        <x:v>QH-SF-QSG</x:v>
      </x:c>
      <x:c r="R173" s="100" t="str"/>
      <x:c r="S173" s="100" t="str">
        <x:v>结构化导入</x:v>
      </x:c>
      <x:c r="T173" s="100" t="str">
        <x:v>AI</x:v>
      </x:c>
      <x:c r="U173" s="100" t="str"/>
      <x:c r="V173" s="108" t="str"/>
      <x:c r="W173" s="100" t="str">
        <x:v>这是后出本纪对训政安排的表述，不等于逐案统计全部决策。</x:v>
      </x:c>
    </x:row>
    <x:row r="174" ht="34" customHeight="1">
      <x:c r="A174" s="100" t="str">
        <x:v>QH-A-QL-0004</x:v>
      </x:c>
      <x:c r="B174" s="100" t="str">
        <x:v>文字或数值陈述</x:v>
      </x:c>
      <x:c r="C174" s="100" t="str">
        <x:v>QH-P-000019</x:v>
      </x:c>
      <x:c r="D174" s="100" t="str">
        <x:v>reported_in_edict</x:v>
      </x:c>
      <x:c r="E174" s="100" t="str">
        <x:v>宫中时宪书用乾隆年号</x:v>
      </x:c>
      <x:c r="F174" s="100" t="str">
        <x:v>嘉庆元年正月戊申朔</x:v>
      </x:c>
      <x:c r="G174" s="108" t="str">
        <x:v>1796-02-09</x:v>
      </x:c>
      <x:c r="H174" s="108" t="str">
        <x:v>1796-02-09</x:v>
      </x:c>
      <x:c r="I174" s="100" t="str">
        <x:v>确定</x:v>
      </x:c>
      <x:c r="J174" s="100" t="str">
        <x:v>审核中</x:v>
      </x:c>
      <x:c r="K174" s="100" t="str">
        <x:v>QH-SU-QL-QSG-0015B</x:v>
      </x:c>
      <x:c r="L174" s="100" t="str">
        <x:v>卷15；授受大典</x:v>
      </x:c>
      <x:c r="M174" s="100" t="str">
        <x:v>宮中時憲書用乾隆年號</x:v>
      </x:c>
      <x:c r="N174" s="100" t="str">
        <x:v>支持</x:v>
      </x:c>
      <x:c r="O174" s="100" t="str">
        <x:v>明确记载</x:v>
      </x:c>
      <x:c r="P174" s="100" t="str">
        <x:v>中</x:v>
      </x:c>
      <x:c r="Q174" s="100" t="str">
        <x:v>QH-SF-QSG</x:v>
      </x:c>
      <x:c r="R174" s="100" t="str"/>
      <x:c r="S174" s="100" t="str">
        <x:v>结构化导入</x:v>
      </x:c>
      <x:c r="T174" s="100" t="str">
        <x:v>AI</x:v>
      </x:c>
      <x:c r="U174" s="100" t="str"/>
      <x:c r="V174" s="108" t="str"/>
      <x:c r="W174" s="100" t="str">
        <x:v>只证卷15如此记宫中时宪书，不扩写为全国继续用乾隆年号。</x:v>
      </x:c>
    </x:row>
    <x:row r="175" ht="34" customHeight="1">
      <x:c r="A175" s="100" t="str">
        <x:v>QH-A-QL-0005</x:v>
      </x:c>
      <x:c r="B175" s="100" t="str">
        <x:v>事件发生</x:v>
      </x:c>
      <x:c r="C175" s="100" t="str">
        <x:v>QH-P-000019</x:v>
      </x:c>
      <x:c r="D175" s="100" t="str">
        <x:v>died_on</x:v>
      </x:c>
      <x:c r="E175" s="100" t="str">
        <x:v>崩，寿八十有九</x:v>
      </x:c>
      <x:c r="F175" s="100" t="str">
        <x:v>嘉庆四年正月壬戌</x:v>
      </x:c>
      <x:c r="G175" s="108" t="str">
        <x:v>1799-02-07</x:v>
      </x:c>
      <x:c r="H175" s="108" t="str">
        <x:v>1799-02-07</x:v>
      </x:c>
      <x:c r="I175" s="100" t="str">
        <x:v>确定</x:v>
      </x:c>
      <x:c r="J175" s="100" t="str">
        <x:v>审核中</x:v>
      </x:c>
      <x:c r="K175" s="100" t="str">
        <x:v>QH-SU-QL-QSG-0015C</x:v>
      </x:c>
      <x:c r="L175" s="100" t="str">
        <x:v>卷15；嘉庆四年正月壬戌</x:v>
      </x:c>
      <x:c r="M175" s="100" t="str">
        <x:v>四年正月壬戌崩，壽八十有九</x:v>
      </x:c>
      <x:c r="N175" s="100" t="str">
        <x:v>支持</x:v>
      </x:c>
      <x:c r="O175" s="100" t="str">
        <x:v>明确记载</x:v>
      </x:c>
      <x:c r="P175" s="100" t="str">
        <x:v>中</x:v>
      </x:c>
      <x:c r="Q175" s="100" t="str">
        <x:v>QH-SF-QSG</x:v>
      </x:c>
      <x:c r="R175" s="100" t="str"/>
      <x:c r="S175" s="100" t="str">
        <x:v>结构化导入</x:v>
      </x:c>
      <x:c r="T175" s="100" t="str">
        <x:v>AI</x:v>
      </x:c>
      <x:c r="U175" s="100" t="str"/>
      <x:c r="V175" s="108" t="str"/>
      <x:c r="W175" s="100" t="str">
        <x:v>卷15本纪记载；公历依通行年表，待历法库复核。</x:v>
      </x:c>
    </x:row>
    <x:row r="176" ht="34" customHeight="1">
      <x:c r="A176" s="100" t="str">
        <x:v>QH-A-QL-0006</x:v>
      </x:c>
      <x:c r="B176" s="100" t="str">
        <x:v>文字或数值陈述</x:v>
      </x:c>
      <x:c r="C176" s="100" t="str">
        <x:v>QH-P-000019</x:v>
      </x:c>
      <x:c r="D176" s="100" t="str">
        <x:v>reported_in_edict</x:v>
      </x:c>
      <x:c r="E176" s="100" t="str">
        <x:v>归政后奏事书太上皇帝，奏对称太上皇</x:v>
      </x:c>
      <x:c r="F176" s="100" t="str">
        <x:v>乾隆六十年十二月</x:v>
      </x:c>
      <x:c r="G176" s="108" t="str">
        <x:v>1796-01-01</x:v>
      </x:c>
      <x:c r="H176" s="108" t="str">
        <x:v>1796-02-08</x:v>
      </x:c>
      <x:c r="I176" s="100" t="str">
        <x:v>约略</x:v>
      </x:c>
      <x:c r="J176" s="100" t="str">
        <x:v>审核中</x:v>
      </x:c>
      <x:c r="K176" s="100" t="str">
        <x:v>QH-SU-QL-QSG-0015A</x:v>
      </x:c>
      <x:c r="L176" s="100" t="str">
        <x:v>卷15；乾隆六十年十二月</x:v>
      </x:c>
      <x:c r="M176" s="100" t="str">
        <x:v>朕於明年歸政後，凡有繕奏事件，俱書太上皇帝。其奏對稱太上皇</x:v>
      </x:c>
      <x:c r="N176" s="100" t="str">
        <x:v>支持</x:v>
      </x:c>
      <x:c r="O176" s="100" t="str">
        <x:v>明确记载</x:v>
      </x:c>
      <x:c r="P176" s="100" t="str">
        <x:v>中</x:v>
      </x:c>
      <x:c r="Q176" s="100" t="str">
        <x:v>QH-SF-QSG</x:v>
      </x:c>
      <x:c r="R176" s="100" t="str"/>
      <x:c r="S176" s="100" t="str">
        <x:v>结构化导入</x:v>
      </x:c>
      <x:c r="T176" s="100" t="str">
        <x:v>AI</x:v>
      </x:c>
      <x:c r="U176" s="100" t="str"/>
      <x:c r="V176" s="108" t="str"/>
      <x:c r="W176" s="100" t="str">
        <x:v>本纪转录上谕；原纪年只到月，公历范围从宽。</x:v>
      </x:c>
    </x:row>
    <x:row r="177" ht="34" customHeight="1">
      <x:c r="A177" s="100" t="str">
        <x:v>QH-A-JQ-0001</x:v>
      </x:c>
      <x:c r="B177" s="100" t="str">
        <x:v>事件发生</x:v>
      </x:c>
      <x:c r="C177" s="100" t="str">
        <x:v>QH-P-000054</x:v>
      </x:c>
      <x:c r="D177" s="100" t="str">
        <x:v>accession_occurred</x:v>
      </x:c>
      <x:c r="E177" s="100" t="str">
        <x:v>即皇帝位</x:v>
      </x:c>
      <x:c r="F177" s="100" t="str">
        <x:v>嘉庆元年正月戊辰朔</x:v>
      </x:c>
      <x:c r="G177" s="108" t="str">
        <x:v>1796-02-09</x:v>
      </x:c>
      <x:c r="H177" s="108" t="str">
        <x:v>1796-02-09</x:v>
      </x:c>
      <x:c r="I177" s="100" t="str">
        <x:v>不确定</x:v>
      </x:c>
      <x:c r="J177" s="100" t="str">
        <x:v>审核中</x:v>
      </x:c>
      <x:c r="K177" s="100" t="str">
        <x:v>QH-SU-JQ-QSG-0016A</x:v>
      </x:c>
      <x:c r="L177" s="100" t="str">
        <x:v>卷16；嘉庆元年正月戊辰朔</x:v>
      </x:c>
      <x:c r="M177" s="100" t="str">
        <x:v>嘉慶元年丙辰春正月戊辰朔，舉行內禪……上即位</x:v>
      </x:c>
      <x:c r="N177" s="100" t="str">
        <x:v>支持</x:v>
      </x:c>
      <x:c r="O177" s="100" t="str">
        <x:v>明确记载</x:v>
      </x:c>
      <x:c r="P177" s="100" t="str">
        <x:v>中</x:v>
      </x:c>
      <x:c r="Q177" s="100" t="str">
        <x:v>QH-SF-QSG</x:v>
      </x:c>
      <x:c r="R177" s="100" t="str">
        <x:v>QH-CF-QL-JQ-ABDICATION-GANZHI</x:v>
      </x:c>
      <x:c r="S177" s="100" t="str">
        <x:v>结构化导入</x:v>
      </x:c>
      <x:c r="T177" s="100" t="str">
        <x:v>AI</x:v>
      </x:c>
      <x:c r="U177" s="100" t="str"/>
      <x:c r="V177" s="108" t="str"/>
      <x:c r="W177" s="100" t="str">
        <x:v>卷16作戊辰，卷15作戊申；两卷均指正月朔同一授受大典。</x:v>
      </x:c>
    </x:row>
    <x:row r="178" ht="34" customHeight="1">
      <x:c r="A178" s="100" t="str">
        <x:v>QH-A-JQ-0002</x:v>
      </x:c>
      <x:c r="B178" s="100" t="str">
        <x:v>称号授予</x:v>
      </x:c>
      <x:c r="C178" s="100" t="str">
        <x:v>QH-P-000019</x:v>
      </x:c>
      <x:c r="D178" s="100" t="str">
        <x:v>honored_as</x:v>
      </x:c>
      <x:c r="E178" s="100" t="str">
        <x:v>太上皇帝</x:v>
      </x:c>
      <x:c r="F178" s="100" t="str">
        <x:v>嘉庆元年正月戊辰朔</x:v>
      </x:c>
      <x:c r="G178" s="108" t="str">
        <x:v>1796-02-09</x:v>
      </x:c>
      <x:c r="H178" s="108" t="str">
        <x:v>1796-02-09</x:v>
      </x:c>
      <x:c r="I178" s="100" t="str">
        <x:v>确定</x:v>
      </x:c>
      <x:c r="J178" s="100" t="str">
        <x:v>审核中</x:v>
      </x:c>
      <x:c r="K178" s="100" t="str">
        <x:v>QH-SU-JQ-QSG-0016A</x:v>
      </x:c>
      <x:c r="L178" s="100" t="str">
        <x:v>卷16；内禅条</x:v>
      </x:c>
      <x:c r="M178" s="100" t="str">
        <x:v>尊高宗為太上皇帝</x:v>
      </x:c>
      <x:c r="N178" s="100" t="str">
        <x:v>支持</x:v>
      </x:c>
      <x:c r="O178" s="100" t="str">
        <x:v>明确记载</x:v>
      </x:c>
      <x:c r="P178" s="100" t="str">
        <x:v>中</x:v>
      </x:c>
      <x:c r="Q178" s="100" t="str">
        <x:v>QH-SF-QSG</x:v>
      </x:c>
      <x:c r="R178" s="100" t="str"/>
      <x:c r="S178" s="100" t="str">
        <x:v>结构化导入</x:v>
      </x:c>
      <x:c r="T178" s="100" t="str">
        <x:v>AI</x:v>
      </x:c>
      <x:c r="U178" s="100" t="str"/>
      <x:c r="V178" s="108" t="str"/>
      <x:c r="W178" s="100" t="str">
        <x:v>与卷15称号方向一致，仍属同一《清史稿》来源家族。</x:v>
      </x:c>
    </x:row>
    <x:row r="179" ht="34" customHeight="1">
      <x:c r="A179" s="100" t="str">
        <x:v>QH-A-JQ-0003</x:v>
      </x:c>
      <x:c r="B179" s="100" t="str">
        <x:v>文字或数值陈述</x:v>
      </x:c>
      <x:c r="C179" s="100" t="str">
        <x:v>QH-P-000019</x:v>
      </x:c>
      <x:c r="D179" s="100" t="str">
        <x:v>reported_in_edict</x:v>
      </x:c>
      <x:c r="E179" s="100" t="str">
        <x:v>太上皇帝训政</x:v>
      </x:c>
      <x:c r="F179" s="100" t="str">
        <x:v>嘉庆元年正月戊辰朔</x:v>
      </x:c>
      <x:c r="G179" s="108" t="str">
        <x:v>1796-02-09</x:v>
      </x:c>
      <x:c r="H179" s="108" t="str">
        <x:v>1796-02-09</x:v>
      </x:c>
      <x:c r="I179" s="100" t="str">
        <x:v>确定</x:v>
      </x:c>
      <x:c r="J179" s="100" t="str">
        <x:v>审核中</x:v>
      </x:c>
      <x:c r="K179" s="100" t="str">
        <x:v>QH-SU-JQ-QSG-0016A</x:v>
      </x:c>
      <x:c r="L179" s="100" t="str">
        <x:v>卷16；内禅条</x:v>
      </x:c>
      <x:c r="M179" s="100" t="str">
        <x:v>尊高宗為太上皇帝，訓政</x:v>
      </x:c>
      <x:c r="N179" s="100" t="str">
        <x:v>支持</x:v>
      </x:c>
      <x:c r="O179" s="100" t="str">
        <x:v>明确记载</x:v>
      </x:c>
      <x:c r="P179" s="100" t="str">
        <x:v>中</x:v>
      </x:c>
      <x:c r="Q179" s="100" t="str">
        <x:v>QH-SF-QSG</x:v>
      </x:c>
      <x:c r="R179" s="100" t="str"/>
      <x:c r="S179" s="100" t="str">
        <x:v>结构化导入</x:v>
      </x:c>
      <x:c r="T179" s="100" t="str">
        <x:v>AI</x:v>
      </x:c>
      <x:c r="U179" s="100" t="str"/>
      <x:c r="V179" s="108" t="str"/>
      <x:c r="W179" s="100" t="str">
        <x:v>“训政”是本纪概括，不是每项决策权的逐案统计。</x:v>
      </x:c>
    </x:row>
    <x:row r="180" ht="34" customHeight="1">
      <x:c r="A180" s="100" t="str">
        <x:v>QH-A-JQ-0004</x:v>
      </x:c>
      <x:c r="B180" s="100" t="str">
        <x:v>事件发生</x:v>
      </x:c>
      <x:c r="C180" s="100" t="str">
        <x:v>QH-P-000019</x:v>
      </x:c>
      <x:c r="D180" s="100" t="str">
        <x:v>died_on</x:v>
      </x:c>
      <x:c r="E180" s="100" t="str">
        <x:v>太上皇帝崩</x:v>
      </x:c>
      <x:c r="F180" s="100" t="str">
        <x:v>嘉庆四年正月壬戌</x:v>
      </x:c>
      <x:c r="G180" s="108" t="str">
        <x:v>1799-02-07</x:v>
      </x:c>
      <x:c r="H180" s="108" t="str">
        <x:v>1799-02-07</x:v>
      </x:c>
      <x:c r="I180" s="100" t="str">
        <x:v>确定</x:v>
      </x:c>
      <x:c r="J180" s="100" t="str">
        <x:v>审核中</x:v>
      </x:c>
      <x:c r="K180" s="100" t="str">
        <x:v>QH-SU-JQ-QSG-0016B</x:v>
      </x:c>
      <x:c r="L180" s="100" t="str">
        <x:v>卷16；嘉庆四年正月壬戌</x:v>
      </x:c>
      <x:c r="M180" s="100" t="str">
        <x:v>四年己未春正月壬戌，太上皇帝崩</x:v>
      </x:c>
      <x:c r="N180" s="100" t="str">
        <x:v>支持</x:v>
      </x:c>
      <x:c r="O180" s="100" t="str">
        <x:v>明确记载</x:v>
      </x:c>
      <x:c r="P180" s="100" t="str">
        <x:v>中</x:v>
      </x:c>
      <x:c r="Q180" s="100" t="str">
        <x:v>QH-SF-QSG</x:v>
      </x:c>
      <x:c r="R180" s="100" t="str"/>
      <x:c r="S180" s="100" t="str">
        <x:v>结构化导入</x:v>
      </x:c>
      <x:c r="T180" s="100" t="str">
        <x:v>AI</x:v>
      </x:c>
      <x:c r="U180" s="100" t="str"/>
      <x:c r="V180" s="108" t="str"/>
      <x:c r="W180" s="100" t="str">
        <x:v>与卷15同日方向一致。公历依通行年表，待历法库复核。</x:v>
      </x:c>
    </x:row>
    <x:row r="181" ht="34" customHeight="1">
      <x:c r="A181" s="100" t="str">
        <x:v>QH-A-JQ-0005</x:v>
      </x:c>
      <x:c r="B181" s="100" t="str">
        <x:v>文字或数值陈述</x:v>
      </x:c>
      <x:c r="C181" s="100" t="str">
        <x:v>QH-P-000054</x:v>
      </x:c>
      <x:c r="D181" s="100" t="str">
        <x:v>reported_in_edict</x:v>
      </x:c>
      <x:c r="E181" s="100" t="str">
        <x:v>始亲政</x:v>
      </x:c>
      <x:c r="F181" s="100" t="str">
        <x:v>嘉庆四年正月壬戌</x:v>
      </x:c>
      <x:c r="G181" s="108" t="str">
        <x:v>1799-02-07</x:v>
      </x:c>
      <x:c r="H181" s="108" t="str">
        <x:v>1799-02-07</x:v>
      </x:c>
      <x:c r="I181" s="100" t="str">
        <x:v>确定</x:v>
      </x:c>
      <x:c r="J181" s="100" t="str">
        <x:v>审核中</x:v>
      </x:c>
      <x:c r="K181" s="100" t="str">
        <x:v>QH-SU-JQ-QSG-0016B</x:v>
      </x:c>
      <x:c r="L181" s="100" t="str">
        <x:v>卷16；嘉庆四年正月壬戌</x:v>
      </x:c>
      <x:c r="M181" s="100" t="str">
        <x:v>上始親政</x:v>
      </x:c>
      <x:c r="N181" s="100" t="str">
        <x:v>支持</x:v>
      </x:c>
      <x:c r="O181" s="100" t="str">
        <x:v>明确记载</x:v>
      </x:c>
      <x:c r="P181" s="100" t="str">
        <x:v>中</x:v>
      </x:c>
      <x:c r="Q181" s="100" t="str">
        <x:v>QH-SF-QSG</x:v>
      </x:c>
      <x:c r="R181" s="100" t="str"/>
      <x:c r="S181" s="100" t="str">
        <x:v>结构化导入</x:v>
      </x:c>
      <x:c r="T181" s="100" t="str">
        <x:v>AI</x:v>
      </x:c>
      <x:c r="U181" s="100" t="str"/>
      <x:c r="V181" s="108" t="str"/>
      <x:c r="W181" s="100" t="str">
        <x:v>这是本纪的编纂表述，不自动证明此前每件政务均无参与。</x:v>
      </x:c>
    </x:row>
    <x:row r="182" ht="34" customHeight="1">
      <x:c r="A182" s="100" t="str">
        <x:v>QH-A-JQ-0006</x:v>
      </x:c>
      <x:c r="B182" s="100" t="str">
        <x:v>事件发生</x:v>
      </x:c>
      <x:c r="C182" s="100" t="str">
        <x:v>QH-P-000124</x:v>
      </x:c>
      <x:c r="D182" s="100" t="str">
        <x:v>imprisoned</x:v>
      </x:c>
      <x:c r="E182" s="100" t="str">
        <x:v>与福长安俱下狱鞫讯</x:v>
      </x:c>
      <x:c r="F182" s="100" t="str">
        <x:v>嘉庆四年正月丁卯</x:v>
      </x:c>
      <x:c r="G182" s="108" t="str">
        <x:v>1799-02-12</x:v>
      </x:c>
      <x:c r="H182" s="108" t="str">
        <x:v>1799-02-12</x:v>
      </x:c>
      <x:c r="I182" s="100" t="str">
        <x:v>确定</x:v>
      </x:c>
      <x:c r="J182" s="100" t="str">
        <x:v>审核中</x:v>
      </x:c>
      <x:c r="K182" s="100" t="str">
        <x:v>QH-SU-JQ-QSG-0016B</x:v>
      </x:c>
      <x:c r="L182" s="100" t="str">
        <x:v>卷16；嘉庆四年正月丁卯</x:v>
      </x:c>
      <x:c r="M182" s="100" t="str">
        <x:v>丁卯，大學士和珅有罪，及尚書福長安俱下獄鞫訊</x:v>
      </x:c>
      <x:c r="N182" s="100" t="str">
        <x:v>支持</x:v>
      </x:c>
      <x:c r="O182" s="100" t="str">
        <x:v>明确记载</x:v>
      </x:c>
      <x:c r="P182" s="100" t="str">
        <x:v>中</x:v>
      </x:c>
      <x:c r="Q182" s="100" t="str">
        <x:v>QH-SF-QSG</x:v>
      </x:c>
      <x:c r="R182" s="100" t="str"/>
      <x:c r="S182" s="100" t="str">
        <x:v>结构化导入</x:v>
      </x:c>
      <x:c r="T182" s="100" t="str">
        <x:v>AI</x:v>
      </x:c>
      <x:c r="U182" s="100" t="str"/>
      <x:c r="V182" s="108" t="str"/>
      <x:c r="W182" s="100" t="str">
        <x:v>下狱鞫讯不是同日已经赐死。公历按壬戌后五干支日对照。</x:v>
      </x:c>
    </x:row>
    <x:row r="183" ht="34" customHeight="1">
      <x:c r="A183" s="100" t="str">
        <x:v>QH-A-JQ-0007</x:v>
      </x:c>
      <x:c r="B183" s="100" t="str">
        <x:v>文字或数值陈述</x:v>
      </x:c>
      <x:c r="C183" s="100" t="str">
        <x:v>QH-P-000054</x:v>
      </x:c>
      <x:c r="D183" s="100" t="str">
        <x:v>reported_in_edict</x:v>
      </x:c>
      <x:c r="E183" s="100" t="str">
        <x:v>中外陈奏直达，不许副封关会军机处</x:v>
      </x:c>
      <x:c r="F183" s="100" t="str">
        <x:v>嘉庆四年正月丁卯</x:v>
      </x:c>
      <x:c r="G183" s="108" t="str">
        <x:v>1799-02-12</x:v>
      </x:c>
      <x:c r="H183" s="108" t="str">
        <x:v>1799-02-12</x:v>
      </x:c>
      <x:c r="I183" s="100" t="str">
        <x:v>确定</x:v>
      </x:c>
      <x:c r="J183" s="100" t="str">
        <x:v>审核中</x:v>
      </x:c>
      <x:c r="K183" s="100" t="str">
        <x:v>QH-SU-JQ-QSG-0016B</x:v>
      </x:c>
      <x:c r="L183" s="100" t="str">
        <x:v>卷16；嘉庆四年正月丁卯</x:v>
      </x:c>
      <x:c r="M183" s="100" t="str">
        <x:v>中外陳奏直達朕前，不許副封關會軍機處</x:v>
      </x:c>
      <x:c r="N183" s="100" t="str">
        <x:v>支持</x:v>
      </x:c>
      <x:c r="O183" s="100" t="str">
        <x:v>明确记载</x:v>
      </x:c>
      <x:c r="P183" s="100" t="str">
        <x:v>中</x:v>
      </x:c>
      <x:c r="Q183" s="100" t="str">
        <x:v>QH-SF-QSG</x:v>
      </x:c>
      <x:c r="R183" s="100" t="str"/>
      <x:c r="S183" s="100" t="str">
        <x:v>结构化导入</x:v>
      </x:c>
      <x:c r="T183" s="100" t="str">
        <x:v>AI</x:v>
      </x:c>
      <x:c r="U183" s="100" t="str"/>
      <x:c r="V183" s="108" t="str"/>
      <x:c r="W183" s="100" t="str">
        <x:v>具体奏事程序调整，不扩写成所有乾隆制度同日废除。</x:v>
      </x:c>
    </x:row>
    <x:row r="184" ht="34" customHeight="1">
      <x:c r="A184" s="100" t="str">
        <x:v>QH-A-JQ-0008</x:v>
      </x:c>
      <x:c r="B184" s="100" t="str">
        <x:v>事件发生</x:v>
      </x:c>
      <x:c r="C184" s="100" t="str">
        <x:v>QH-P-000124</x:v>
      </x:c>
      <x:c r="D184" s="100" t="str">
        <x:v>granted_death</x:v>
      </x:c>
      <x:c r="E184" s="100" t="str">
        <x:v>赐死于狱</x:v>
      </x:c>
      <x:c r="F184" s="100" t="str">
        <x:v>嘉庆四年正月丁丑</x:v>
      </x:c>
      <x:c r="G184" s="108" t="str">
        <x:v>1799-02-22</x:v>
      </x:c>
      <x:c r="H184" s="108" t="str">
        <x:v>1799-02-22</x:v>
      </x:c>
      <x:c r="I184" s="100" t="str">
        <x:v>确定</x:v>
      </x:c>
      <x:c r="J184" s="100" t="str">
        <x:v>审核中</x:v>
      </x:c>
      <x:c r="K184" s="100" t="str">
        <x:v>QH-SU-JQ-QSG-0016B</x:v>
      </x:c>
      <x:c r="L184" s="100" t="str">
        <x:v>卷16；嘉庆四年正月丁丑</x:v>
      </x:c>
      <x:c r="M184" s="100" t="str">
        <x:v>丁丑，和珅賜死於獄</x:v>
      </x:c>
      <x:c r="N184" s="100" t="str">
        <x:v>支持</x:v>
      </x:c>
      <x:c r="O184" s="100" t="str">
        <x:v>明确记载</x:v>
      </x:c>
      <x:c r="P184" s="100" t="str">
        <x:v>中</x:v>
      </x:c>
      <x:c r="Q184" s="100" t="str">
        <x:v>QH-SF-QSG</x:v>
      </x:c>
      <x:c r="R184" s="100" t="str"/>
      <x:c r="S184" s="100" t="str">
        <x:v>结构化导入</x:v>
      </x:c>
      <x:c r="T184" s="100" t="str">
        <x:v>AI</x:v>
      </x:c>
      <x:c r="U184" s="100" t="str"/>
      <x:c r="V184" s="108" t="str"/>
      <x:c r="W184" s="100" t="str">
        <x:v>距壬戌太上皇崩十五干支日，不是五日后即死。</x:v>
      </x:c>
    </x:row>
    <x:row r="185" ht="34" customHeight="1">
      <x:c r="A185" s="100" t="str">
        <x:v>QH-A-JQ-0009</x:v>
      </x:c>
      <x:c r="B185" s="100" t="str">
        <x:v>称号授予</x:v>
      </x:c>
      <x:c r="C185" s="100" t="str">
        <x:v>QH-P-000124</x:v>
      </x:c>
      <x:c r="D185" s="100" t="str">
        <x:v>appointed_as</x:v>
      </x:c>
      <x:c r="E185" s="100" t="str">
        <x:v>军机大臣；内务府大臣</x:v>
      </x:c>
      <x:c r="F185" s="100" t="str">
        <x:v>乾隆四十一年</x:v>
      </x:c>
      <x:c r="G185" s="108" t="str">
        <x:v>1776-01-01</x:v>
      </x:c>
      <x:c r="H185" s="108" t="str">
        <x:v>1777-12-31</x:v>
      </x:c>
      <x:c r="I185" s="100" t="str">
        <x:v>约略</x:v>
      </x:c>
      <x:c r="J185" s="100" t="str">
        <x:v>审核中</x:v>
      </x:c>
      <x:c r="K185" s="100" t="str">
        <x:v>QH-SU-JQ-QSG-0319A</x:v>
      </x:c>
      <x:c r="L185" s="100" t="str">
        <x:v>卷319；和珅传乾隆四十至四十一年</x:v>
      </x:c>
      <x:c r="M185" s="100" t="str">
        <x:v>次年，遂授戶部侍郎，命為軍機大臣，兼內務府大臣</x:v>
      </x:c>
      <x:c r="N185" s="100" t="str">
        <x:v>支持</x:v>
      </x:c>
      <x:c r="O185" s="100" t="str">
        <x:v>明确记载</x:v>
      </x:c>
      <x:c r="P185" s="100" t="str">
        <x:v>中</x:v>
      </x:c>
      <x:c r="Q185" s="100" t="str">
        <x:v>QH-SF-QSG</x:v>
      </x:c>
      <x:c r="R185" s="100" t="str"/>
      <x:c r="S185" s="100" t="str">
        <x:v>结构化导入</x:v>
      </x:c>
      <x:c r="T185" s="100" t="str">
        <x:v>AI</x:v>
      </x:c>
      <x:c r="U185" s="100" t="str"/>
      <x:c r="V185" s="108" t="str"/>
      <x:c r="W185" s="100" t="str">
        <x:v>卷319页面标50%文本质量；公历年界从宽，待历法库和影印本复核。</x:v>
      </x:c>
    </x:row>
    <x:row r="186" ht="34" customHeight="1">
      <x:c r="A186" s="100" t="str">
        <x:v>QH-A-JQ-0010</x:v>
      </x:c>
      <x:c r="B186" s="100" t="str">
        <x:v>事件发生</x:v>
      </x:c>
      <x:c r="C186" s="100" t="str">
        <x:v>QH-P-000124</x:v>
      </x:c>
      <x:c r="D186" s="100" t="str">
        <x:v>imprisoned</x:v>
      </x:c>
      <x:c r="E186" s="100" t="str">
        <x:v>命王大臣会鞫</x:v>
      </x:c>
      <x:c r="F186" s="100" t="str">
        <x:v>嘉庆四年正月</x:v>
      </x:c>
      <x:c r="G186" s="108" t="str">
        <x:v>1799-02-05</x:v>
      </x:c>
      <x:c r="H186" s="108" t="str">
        <x:v>1799-03-06</x:v>
      </x:c>
      <x:c r="I186" s="100" t="str">
        <x:v>约略</x:v>
      </x:c>
      <x:c r="J186" s="100" t="str">
        <x:v>审核中</x:v>
      </x:c>
      <x:c r="K186" s="100" t="str">
        <x:v>QH-SU-JQ-QSG-0319A</x:v>
      </x:c>
      <x:c r="L186" s="100" t="str">
        <x:v>卷319；和珅传嘉庆四年正月</x:v>
      </x:c>
      <x:c r="M186" s="100" t="str">
        <x:v>仁宗即以宣遺詔日傳旨逮治，命王大臣會鞫，俱得實</x:v>
      </x:c>
      <x:c r="N186" s="100" t="str">
        <x:v>支持</x:v>
      </x:c>
      <x:c r="O186" s="100" t="str">
        <x:v>明确记载</x:v>
      </x:c>
      <x:c r="P186" s="100" t="str">
        <x:v>中</x:v>
      </x:c>
      <x:c r="Q186" s="100" t="str">
        <x:v>QH-SF-QSG</x:v>
      </x:c>
      <x:c r="R186" s="100" t="str"/>
      <x:c r="S186" s="100" t="str">
        <x:v>结构化导入</x:v>
      </x:c>
      <x:c r="T186" s="100" t="str">
        <x:v>AI</x:v>
      </x:c>
      <x:c r="U186" s="100" t="str"/>
      <x:c r="V186" s="108" t="str"/>
      <x:c r="W186" s="100" t="str">
        <x:v>列传后出叙述；“俱得实”是史稿判断，不替代逐款档案。</x:v>
      </x:c>
    </x:row>
    <x:row r="187" ht="34" customHeight="1">
      <x:c r="A187" s="100" t="str">
        <x:v>QH-A-JQ-0011</x:v>
      </x:c>
      <x:c r="B187" s="100" t="str">
        <x:v>文字或数值陈述</x:v>
      </x:c>
      <x:c r="C187" s="100" t="str">
        <x:v>QH-P-000054</x:v>
      </x:c>
      <x:c r="D187" s="100" t="str">
        <x:v>reported_in_edict</x:v>
      </x:c>
      <x:c r="E187" s="100" t="str">
        <x:v>上谕宣布和珅罪状二十款</x:v>
      </x:c>
      <x:c r="F187" s="100" t="str">
        <x:v>嘉庆四年正月</x:v>
      </x:c>
      <x:c r="G187" s="108" t="str">
        <x:v>1799-02-05</x:v>
      </x:c>
      <x:c r="H187" s="108" t="str">
        <x:v>1799-03-06</x:v>
      </x:c>
      <x:c r="I187" s="100" t="str">
        <x:v>约略</x:v>
      </x:c>
      <x:c r="J187" s="100" t="str">
        <x:v>审核中</x:v>
      </x:c>
      <x:c r="K187" s="100" t="str">
        <x:v>QH-SU-JQ-QSG-0319A</x:v>
      </x:c>
      <x:c r="L187" s="100" t="str">
        <x:v>卷319；和珅传转录上谕</x:v>
      </x:c>
      <x:c r="M187" s="100" t="str">
        <x:v>詔宣布和珅罪狀，略曰……大罪二十</x:v>
      </x:c>
      <x:c r="N187" s="100" t="str">
        <x:v>支持</x:v>
      </x:c>
      <x:c r="O187" s="100" t="str">
        <x:v>明确记载</x:v>
      </x:c>
      <x:c r="P187" s="100" t="str">
        <x:v>中</x:v>
      </x:c>
      <x:c r="Q187" s="100" t="str">
        <x:v>QH-SF-QSG</x:v>
      </x:c>
      <x:c r="R187" s="100" t="str"/>
      <x:c r="S187" s="100" t="str">
        <x:v>结构化导入</x:v>
      </x:c>
      <x:c r="T187" s="100" t="str">
        <x:v>AI</x:v>
      </x:c>
      <x:c r="U187" s="100" t="str"/>
      <x:c r="V187" s="108" t="str"/>
      <x:c r="W187" s="100" t="str">
        <x:v>证明列传转录了一份二十款罪状上谕，不证明二十款均有独立材料互证。</x:v>
      </x:c>
    </x:row>
    <x:row r="188" ht="34" customHeight="1">
      <x:c r="A188" s="100" t="str">
        <x:v>QH-A-JQ-0012</x:v>
      </x:c>
      <x:c r="B188" s="100" t="str">
        <x:v>文字或数值陈述</x:v>
      </x:c>
      <x:c r="C188" s="100" t="str">
        <x:v>QH-P-000124</x:v>
      </x:c>
      <x:c r="D188" s="100" t="str">
        <x:v>reported_in_edict</x:v>
      </x:c>
      <x:c r="E188" s="100" t="str">
        <x:v>上谕指控提前递如意、以拥戴自居</x:v>
      </x:c>
      <x:c r="F188" s="100" t="str">
        <x:v>嘉庆四年正月</x:v>
      </x:c>
      <x:c r="G188" s="108" t="str">
        <x:v>1799-02-05</x:v>
      </x:c>
      <x:c r="H188" s="108" t="str">
        <x:v>1799-03-06</x:v>
      </x:c>
      <x:c r="I188" s="100" t="str">
        <x:v>约略</x:v>
      </x:c>
      <x:c r="J188" s="100" t="str">
        <x:v>审核中</x:v>
      </x:c>
      <x:c r="K188" s="100" t="str">
        <x:v>QH-SU-JQ-QSG-0319A</x:v>
      </x:c>
      <x:c r="L188" s="100" t="str">
        <x:v>卷319；二十大罪第一款</x:v>
      </x:c>
      <x:c r="M188" s="100" t="str">
        <x:v>和珅於初二日在朕前先遞如意，以擁戴自居，大罪一</x:v>
      </x:c>
      <x:c r="N188" s="100" t="str">
        <x:v>支持</x:v>
      </x:c>
      <x:c r="O188" s="100" t="str">
        <x:v>明确记载</x:v>
      </x:c>
      <x:c r="P188" s="100" t="str">
        <x:v>中</x:v>
      </x:c>
      <x:c r="Q188" s="100" t="str">
        <x:v>QH-SF-QSG</x:v>
      </x:c>
      <x:c r="R188" s="100" t="str"/>
      <x:c r="S188" s="100" t="str">
        <x:v>结构化导入</x:v>
      </x:c>
      <x:c r="T188" s="100" t="str">
        <x:v>AI</x:v>
      </x:c>
      <x:c r="U188" s="100" t="str"/>
      <x:c r="V188" s="108" t="str"/>
      <x:c r="W188" s="100" t="str">
        <x:v>这是卷319转录的政治清算上谕指控，不升格为已独立证实事实。</x:v>
      </x:c>
    </x:row>
    <x:row r="189" ht="34" customHeight="1">
      <x:c r="A189" s="100" t="str">
        <x:v>QH-A-JQ-0013</x:v>
      </x:c>
      <x:c r="B189" s="100" t="str">
        <x:v>事件发生</x:v>
      </x:c>
      <x:c r="C189" s="100" t="str">
        <x:v>QH-P-000124</x:v>
      </x:c>
      <x:c r="D189" s="100" t="str">
        <x:v>granted_death</x:v>
      </x:c>
      <x:c r="E189" s="100" t="str">
        <x:v>赐自尽，不令肆市</x:v>
      </x:c>
      <x:c r="F189" s="100" t="str">
        <x:v>嘉庆四年正月</x:v>
      </x:c>
      <x:c r="G189" s="108" t="str">
        <x:v>1799-02-05</x:v>
      </x:c>
      <x:c r="H189" s="108" t="str">
        <x:v>1799-03-06</x:v>
      </x:c>
      <x:c r="I189" s="100" t="str">
        <x:v>约略</x:v>
      </x:c>
      <x:c r="J189" s="100" t="str">
        <x:v>审核中</x:v>
      </x:c>
      <x:c r="K189" s="100" t="str">
        <x:v>QH-SU-JQ-QSG-0319A</x:v>
      </x:c>
      <x:c r="L189" s="100" t="str">
        <x:v>卷319；和珅传嘉庆四年正月</x:v>
      </x:c>
      <x:c r="M189" s="100" t="str">
        <x:v>上猶以和珅嘗任首輔，不忍令肆市，賜自盡</x:v>
      </x:c>
      <x:c r="N189" s="100" t="str">
        <x:v>支持</x:v>
      </x:c>
      <x:c r="O189" s="100" t="str">
        <x:v>明确记载</x:v>
      </x:c>
      <x:c r="P189" s="100" t="str">
        <x:v>中</x:v>
      </x:c>
      <x:c r="Q189" s="100" t="str">
        <x:v>QH-SF-QSG</x:v>
      </x:c>
      <x:c r="R189" s="100" t="str"/>
      <x:c r="S189" s="100" t="str">
        <x:v>结构化导入</x:v>
      </x:c>
      <x:c r="T189" s="100" t="str">
        <x:v>AI</x:v>
      </x:c>
      <x:c r="U189" s="100" t="str"/>
      <x:c r="V189" s="108" t="str"/>
      <x:c r="W189" s="100" t="str">
        <x:v>与卷16“赐死于狱”方向一致，但同属《清史稿》家族，不算独立双源。</x:v>
      </x:c>
    </x:row>
  </x:sheetData>
  <x:mergeCells>
    <x:mergeCell ref="A1:W1"/>
    <x:mergeCell ref="A2:W2"/>
  </x:mergeCells>
  <x:conditionalFormatting sqref="J5:J189">
    <x:cfRule type="containsText" dxfId="50" priority="1" operator="containsText" text="已完成"/>
    <x:cfRule type="containsText" dxfId="51" priority="2" operator="containsText" text="已通过"/>
    <x:cfRule type="containsText" dxfId="52" priority="3" operator="containsText" text="进行中"/>
    <x:cfRule type="containsText" dxfId="53" priority="4" operator="containsText" text="待审核"/>
    <x:cfRule type="containsText" dxfId="54" priority="5" operator="containsText" text="阻塞"/>
  </x:conditionalFormatting>
  <x:dataValidations count="7">
    <x:dataValidation type="list" sqref="B5:B189">
      <x:formula1>"实体关系,身份或关系,文字或数值陈述,人物关系,称号授予,事件发生,事件参与,制度或机构,图像表现认定"</x:formula1>
    </x:dataValidation>
    <x:dataValidation type="list" sqref="I5:I189">
      <x:formula1>"确定,较确定,约略,不确定,约略且不确定,推定,未知"</x:formula1>
    </x:dataValidation>
    <x:dataValidation type="list" sqref="J5:J189">
      <x:formula1>"草稿,审核中,已采纳,有争议,已驳回,已废弃"</x:formula1>
    </x:dataValidation>
    <x:dataValidation type="list" sqref="N5:N189">
      <x:formula1>"支持,反驳,提供语境,仅提及"</x:formula1>
    </x:dataValidation>
    <x:dataValidation type="list" sqref="O5:O189">
      <x:formula1>"明确记载,推定,语境性,后出转引,来源内冲突,以沉默为据"</x:formula1>
    </x:dataValidation>
    <x:dataValidation type="list" sqref="P5:P189">
      <x:formula1>"一手直接,强,中,弱,未评级"</x:formula1>
    </x:dataValidation>
    <x:dataValidation type="list" sqref="S5:S189">
      <x:formula1>"人工录入,结构化导入,规则抽取,OCR 抽取,实体识别抽取,大模型抽取"</x:formula1>
    </x:dataValidation>
  </x:dataValidations>
  <x:pageMargins left="0.7" right="0.7" top="0.75" bottom="0.75" header="0.3" footer="0.3"/>
  <x:legacyDrawing xmlns:r="http://schemas.openxmlformats.org/officeDocument/2006/relationships" r:id="Rf26b5914bfca4261"/>
  <x:tableParts count="1">
    <x:tablePart xmlns:r="http://schemas.openxmlformats.org/officeDocument/2006/relationships" r:id="Radd721a2f31d44a1"/>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25" hidden="0" customWidth="1"/>
    <x:col min="5" max="5" width="30" hidden="0" customWidth="1"/>
    <x:col min="6" max="6" width="24" hidden="0" customWidth="1"/>
    <x:col min="7" max="7" width="13" hidden="0" customWidth="1"/>
    <x:col min="8" max="8" width="13" hidden="0" customWidth="1"/>
    <x:col min="9" max="9" width="13" hidden="0" customWidth="1"/>
    <x:col min="10" max="10" width="13" hidden="0" customWidth="1"/>
    <x:col min="11" max="11" width="18" hidden="0" customWidth="1"/>
    <x:col min="12" max="12" width="40" hidden="0" customWidth="1"/>
    <x:col min="13" max="13" width="55" hidden="0" customWidth="1"/>
    <x:col min="14" max="14" width="13" hidden="0" customWidth="1"/>
    <x:col min="15" max="15" width="16" hidden="0" customWidth="1"/>
    <x:col min="16" max="16" width="14" hidden="0" customWidth="1"/>
    <x:col min="17" max="17" width="18" hidden="0" customWidth="1"/>
    <x:col min="18" max="18" width="16" hidden="0" customWidth="1"/>
    <x:col min="19" max="19" width="18" hidden="0" customWidth="1"/>
    <x:col min="20" max="20" width="14" hidden="0" customWidth="1"/>
    <x:col min="21" max="21" width="14" hidden="0" customWidth="1"/>
    <x:col min="22" max="22" width="13" hidden="0" customWidth="1"/>
    <x:col min="23" max="23" width="40" hidden="0" customWidth="1"/>
  </x:cols>
  <x:sheetData>
    <x:row r="1" ht="34" customHeight="1">
      <x:c r="A1" s="3" t="str">
        <x:v>身份与关系主张</x:v>
      </x:c>
    </x:row>
    <x:row r="2" ht="24" customHeight="1">
      <x:c r="A2" s="6" t="str">
        <x:v>从全部主张中动态筛出 3 条身份或关系记录；关系是有时间、有类型、有证据的主张，不是静态家谱连线。</x:v>
      </x:c>
    </x:row>
    <x:row r="4" ht="32" customHeight="1">
      <x:c r="A4" s="92" t="str">
        <x:v>Assertion ID</x:v>
      </x:c>
      <x:c r="B4" s="93" t="str">
        <x:v>主张类型</x:v>
      </x:c>
      <x:c r="C4" s="93" t="str">
        <x:v>主体 ID</x:v>
      </x:c>
      <x:c r="D4" s="93" t="str">
        <x:v>谓词/关系</x:v>
      </x:c>
      <x:c r="E4" s="93" t="str">
        <x:v>客体 ID 或值</x:v>
      </x:c>
      <x:c r="F4" s="93" t="str">
        <x:v>原始时间表达</x:v>
      </x:c>
      <x:c r="G4" s="93" t="str">
        <x:v>公历下界</x:v>
      </x:c>
      <x:c r="H4" s="93" t="str">
        <x:v>公历上界</x:v>
      </x:c>
      <x:c r="I4" s="93" t="str">
        <x:v>确定性</x:v>
      </x:c>
      <x:c r="J4" s="93" t="str">
        <x:v>状态</x:v>
      </x:c>
      <x:c r="K4" s="93" t="str">
        <x:v>来源实体 ID</x:v>
      </x:c>
      <x:c r="L4" s="93" t="str">
        <x:v>卷页/档号/图像定位</x:v>
      </x:c>
      <x:c r="M4" s="93" t="str">
        <x:v>支持引文</x:v>
      </x:c>
      <x:c r="N4" s="93" t="str">
        <x:v>证据立场</x:v>
      </x:c>
      <x:c r="O4" s="93" t="str">
        <x:v>证据直接性</x:v>
      </x:c>
      <x:c r="P4" s="93" t="str">
        <x:v>证据强度</x:v>
      </x:c>
      <x:c r="Q4" s="93" t="str">
        <x:v>来源家族 ID</x:v>
      </x:c>
      <x:c r="R4" s="93" t="str">
        <x:v>冲突组 ID</x:v>
      </x:c>
      <x:c r="S4" s="93" t="str">
        <x:v>获取方式</x:v>
      </x:c>
      <x:c r="T4" s="93" t="str">
        <x:v>录入人</x:v>
      </x:c>
      <x:c r="U4" s="93" t="str">
        <x:v>复核人</x:v>
      </x:c>
      <x:c r="V4" s="93" t="str">
        <x:v>复核日期</x:v>
      </x:c>
      <x:c r="W4" s="94" t="str">
        <x:v>编辑备注</x:v>
      </x:c>
    </x:row>
    <x:row r="5" ht="36" customHeight="1">
      <x:c r="A5" s="99" t="str">
        <x:v>QH-A-KX-0068</x:v>
      </x:c>
      <x:c r="B5" s="99" t="str">
        <x:v>人物关系</x:v>
      </x:c>
      <x:c r="C5" s="99" t="str">
        <x:v>QH-P-000013</x:v>
      </x:c>
      <x:c r="D5" s="99" t="str">
        <x:v>adopted_out_to</x:v>
      </x:c>
      <x:c r="E5" s="99" t="str">
        <x:v>博果铎之后</x:v>
      </x:c>
      <x:c r="F5" s="99" t="str">
        <x:v>清史稿卷164圣祖系（表无生年）</x:v>
      </x:c>
      <x:c r="G5" s="107" t="str">
        <x:v>1661-02-07</x:v>
      </x:c>
      <x:c r="H5" s="107" t="str">
        <x:v>1722-12-20</x:v>
      </x:c>
      <x:c r="I5" s="99" t="str">
        <x:v>确定</x:v>
      </x:c>
      <x:c r="J5" s="99" t="str">
        <x:v>审核中</x:v>
      </x:c>
      <x:c r="K5" s="99" t="str">
        <x:v>QH-SU-QSG-0164</x:v>
      </x:c>
      <x:c r="L5" s="99" t="str">
        <x:v>卷164；圣祖系；胤禄行</x:v>
      </x:c>
      <x:c r="M5" s="99" t="str">
        <x:v>胤祿〈聖祖第十六子，嗣博果鐸後。</x:v>
      </x:c>
      <x:c r="N5" s="99" t="str">
        <x:v>支持</x:v>
      </x:c>
      <x:c r="O5" s="99" t="str">
        <x:v>明确记载</x:v>
      </x:c>
      <x:c r="P5" s="99" t="str">
        <x:v>中</x:v>
      </x:c>
      <x:c r="Q5" s="99" t="str">
        <x:v>QH-SF-QSG</x:v>
      </x:c>
      <x:c r="R5" s="99" t="str"/>
      <x:c r="S5" s="99" t="str">
        <x:v>结构化导入</x:v>
      </x:c>
      <x:c r="T5" s="99" t="str">
        <x:v>AI</x:v>
      </x:c>
      <x:c r="U5" s="99" t="str"/>
      <x:c r="V5" s="107" t="str"/>
      <x:c r="W5" s="99" t="str">
        <x:v>世表明记过继。生物父子仍是圣祖第十六子口径。两层关系必须分栏。博果铎尚未建档。</x:v>
      </x:c>
    </x:row>
    <x:row r="6" ht="36" customHeight="1">
      <x:c r="A6" s="100" t="str">
        <x:v>QH-A-KX-0116</x:v>
      </x:c>
      <x:c r="B6" s="100" t="str">
        <x:v>人物关系</x:v>
      </x:c>
      <x:c r="C6" s="100" t="str">
        <x:v>QH-P-000123</x:v>
      </x:c>
      <x:c r="D6" s="100" t="str">
        <x:v>fostered_not_begotten</x:v>
      </x:c>
      <x:c r="E6" s="100" t="str">
        <x:v>恭亲王常宁第一女；非圣祖所出</x:v>
      </x:c>
      <x:c r="F6" s="100" t="str">
        <x:v>清史稿卷166抚育行</x:v>
      </x:c>
      <x:c r="G6" s="108" t="str">
        <x:v>1671-02-09</x:v>
      </x:c>
      <x:c r="H6" s="108" t="str">
        <x:v>1742-02-04</x:v>
      </x:c>
      <x:c r="I6" s="100" t="str">
        <x:v>确定</x:v>
      </x:c>
      <x:c r="J6" s="100" t="str">
        <x:v>审核中</x:v>
      </x:c>
      <x:c r="K6" s="100" t="str">
        <x:v>QH-SU-QSG-0166</x:v>
      </x:c>
      <x:c r="L6" s="100" t="str">
        <x:v>卷166；圣祖抚弟恭亲王常宁第一女</x:v>
      </x:c>
      <x:c r="M6" s="100" t="str">
        <x:v>聖祖撫弟恭親王常寧第一女</x:v>
      </x:c>
      <x:c r="N6" s="100" t="str">
        <x:v>支持</x:v>
      </x:c>
      <x:c r="O6" s="100" t="str">
        <x:v>明确记载</x:v>
      </x:c>
      <x:c r="P6" s="100" t="str">
        <x:v>中</x:v>
      </x:c>
      <x:c r="Q6" s="100" t="str">
        <x:v>QH-SF-QSG</x:v>
      </x:c>
      <x:c r="R6" s="100" t="str"/>
      <x:c r="S6" s="100" t="str">
        <x:v>结构化导入</x:v>
      </x:c>
      <x:c r="T6" s="100" t="str">
        <x:v>AI</x:v>
      </x:c>
      <x:c r="U6" s="100" t="str"/>
      <x:c r="V6" s="108" t="str"/>
      <x:c r="W6" s="100" t="str">
        <x:v>抚育女。不得计入圣祖亲生二十女，也不得写成第二十一女。生父常宁尚未建档。公历用表内生薨年所在年号起迄。</x:v>
      </x:c>
    </x:row>
    <x:row r="7" ht="36" customHeight="1">
      <x:c r="A7" s="100" t="str">
        <x:v>QH-A-YZ-0034</x:v>
      </x:c>
      <x:c r="B7" s="100" t="str">
        <x:v>人物关系</x:v>
      </x:c>
      <x:c r="C7" s="100" t="str">
        <x:v>QH-P-000048</x:v>
      </x:c>
      <x:c r="D7" s="100" t="str">
        <x:v>maternal_uncle_of_empress</x:v>
      </x:c>
      <x:c r="E7" s="100" t="str">
        <x:v>QH-P-000024</x:v>
      </x:c>
      <x:c r="F7" s="100" t="str">
        <x:v>列传总述</x:v>
      </x:c>
      <x:c r="G7" s="108" t="str">
        <x:v>1668-01-01</x:v>
      </x:c>
      <x:c r="H7" s="108" t="str">
        <x:v>1728-08-05</x:v>
      </x:c>
      <x:c r="I7" s="100" t="str">
        <x:v>确定</x:v>
      </x:c>
      <x:c r="J7" s="100" t="str">
        <x:v>审核中</x:v>
      </x:c>
      <x:c r="K7" s="100" t="str">
        <x:v>QH-SU-YZ-QSG-0295A</x:v>
      </x:c>
      <x:c r="L7" s="100" t="str">
        <x:v>卷295；隆科多传首句</x:v>
      </x:c>
      <x:c r="M7" s="100" t="str">
        <x:v>一等公佟國維子，孝懿仁皇后弟也</x:v>
      </x:c>
      <x:c r="N7" s="100" t="str">
        <x:v>支持</x:v>
      </x:c>
      <x:c r="O7" s="100" t="str">
        <x:v>明确记载</x:v>
      </x:c>
      <x:c r="P7" s="100" t="str">
        <x:v>中</x:v>
      </x:c>
      <x:c r="Q7" s="100" t="str">
        <x:v>QH-SF-QSG</x:v>
      </x:c>
      <x:c r="R7" s="100" t="str"/>
      <x:c r="S7" s="100" t="str">
        <x:v>结构化导入</x:v>
      </x:c>
      <x:c r="T7" s="100" t="str">
        <x:v>AI</x:v>
      </x:c>
      <x:c r="U7" s="100" t="str"/>
      <x:c r="V7" s="108" t="str"/>
      <x:c r="W7" s="100" t="str">
        <x:v>证明列传所记外戚身份。公历字段只标大约生卒窗口，不是生卒已核。孝懿是佟佳氏 QH-P-000024。后出列传不作终审。可与本纪矛盾，两说并存。世宗实录条次未钉。</x:v>
      </x:c>
    </x:row>
  </x:sheetData>
  <x:mergeCells>
    <x:mergeCell ref="A1:W1"/>
    <x:mergeCell ref="A2:W2"/>
  </x:mergeCells>
  <x:conditionalFormatting sqref="J5:J7">
    <x:cfRule type="containsText" dxfId="55" priority="1" operator="containsText" text="已完成"/>
    <x:cfRule type="containsText" dxfId="56" priority="2" operator="containsText" text="已通过"/>
    <x:cfRule type="containsText" dxfId="57" priority="3" operator="containsText" text="进行中"/>
    <x:cfRule type="containsText" dxfId="58" priority="4" operator="containsText" text="待审核"/>
    <x:cfRule type="containsText" dxfId="59" priority="5" operator="containsText" text="阻塞"/>
  </x:conditionalFormatting>
  <x:pageMargins left="0.7" right="0.7" top="0.75" bottom="0.75" header="0.3" footer="0.3"/>
  <x:legacyDrawing xmlns:r="http://schemas.openxmlformats.org/officeDocument/2006/relationships" r:id="R13ba5bc13c5d470d"/>
  <x:tableParts count="1">
    <x:tablePart xmlns:r="http://schemas.openxmlformats.org/officeDocument/2006/relationships" r:id="R4b8c1c57f7904ed4"/>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34" hidden="0" customWidth="1"/>
    <x:col min="4" max="4" width="10" hidden="0" customWidth="1"/>
    <x:col min="5" max="5" width="10" hidden="0" customWidth="1"/>
    <x:col min="6" max="6" width="10" hidden="0" customWidth="1"/>
    <x:col min="7" max="7" width="10" hidden="0" customWidth="1"/>
    <x:col min="8" max="8" width="20" hidden="0" customWidth="1"/>
    <x:col min="9" max="9" width="18" hidden="0" customWidth="1"/>
    <x:col min="10" max="10" width="50" hidden="0" customWidth="1"/>
  </x:cols>
  <x:sheetData>
    <x:row r="1" ht="34" customHeight="1">
      <x:c r="A1" s="3" t="str">
        <x:v>图像区域标注</x:v>
      </x:c>
    </x:row>
    <x:row r="2" ht="24" customHeight="1">
      <x:c r="A2" s="6" t="str">
        <x:v>当前 15 个区域标注；图像对象、人物认定、局部标注和证据主张分层管理。</x:v>
      </x:c>
    </x:row>
    <x:row r="4" ht="32" customHeight="1">
      <x:c r="A4" s="92" t="str">
        <x:v>region_id</x:v>
      </x:c>
      <x:c r="B4" s="93" t="str">
        <x:v>visual_id</x:v>
      </x:c>
      <x:c r="C4" s="93" t="str">
        <x:v>region_label</x:v>
      </x:c>
      <x:c r="D4" s="93" t="str">
        <x:v>x</x:v>
      </x:c>
      <x:c r="E4" s="93" t="str">
        <x:v>y</x:v>
      </x:c>
      <x:c r="F4" s="93" t="str">
        <x:v>w</x:v>
      </x:c>
      <x:c r="G4" s="93" t="str">
        <x:v>h</x:v>
      </x:c>
      <x:c r="H4" s="93" t="str">
        <x:v>assertion_id</x:v>
      </x:c>
      <x:c r="I4" s="93" t="str">
        <x:v>evidence_stance</x:v>
      </x:c>
      <x:c r="J4" s="94" t="str">
        <x:v>note</x:v>
      </x:c>
    </x:row>
    <x:row r="5" ht="34" customHeight="1">
      <x:c r="A5" s="99" t="str">
        <x:v>QH-IR-0001</x:v>
      </x:c>
      <x:c r="B5" s="99" t="str">
        <x:v>QH-V-E04C</x:v>
      </x:c>
      <x:c r="C5" s="99" t="str">
        <x:v>碑文正文</x:v>
      </x:c>
      <x:c r="D5" s="99" t="str">
        <x:v>0.08</x:v>
      </x:c>
      <x:c r="E5" s="99" t="str">
        <x:v>0.10</x:v>
      </x:c>
      <x:c r="F5" s="99" t="str">
        <x:v>0.84</x:v>
      </x:c>
      <x:c r="G5" s="99" t="str">
        <x:v>0.70</x:v>
      </x:c>
      <x:c r="H5" s="99" t="str">
        <x:v>QH-A-KX-0002</x:v>
      </x:c>
      <x:c r="I5" s="99" t="str">
        <x:v>支持</x:v>
      </x:c>
      <x:c r="J5" s="99" t="str">
        <x:v>康熙御书《兰亭序》临写系统；碑文全文以原石为准</x:v>
      </x:c>
    </x:row>
    <x:row r="6" ht="34" customHeight="1">
      <x:c r="A6" s="100" t="str">
        <x:v>QH-IR-0002</x:v>
      </x:c>
      <x:c r="B6" s="100" t="str">
        <x:v>QH-V-E04D</x:v>
      </x:c>
      <x:c r="C6" s="100" t="str">
        <x:v>朱批区</x:v>
      </x:c>
      <x:c r="D6" s="100" t="str">
        <x:v>0.05</x:v>
      </x:c>
      <x:c r="E6" s="100" t="str">
        <x:v>0.02</x:v>
      </x:c>
      <x:c r="F6" s="100" t="str">
        <x:v>0.90</x:v>
      </x:c>
      <x:c r="G6" s="100" t="str">
        <x:v>0.12</x:v>
      </x:c>
      <x:c r="H6" s="100" t="str">
        <x:v>QH-A-KX-0001</x:v>
      </x:c>
      <x:c r="I6" s="100" t="str">
        <x:v>支持</x:v>
      </x:c>
      <x:c r="J6" s="100" t="str">
        <x:v>奏折朱批区；常见朱批形态包括「览」「知道了」及具体指示</x:v>
      </x:c>
    </x:row>
    <x:row r="7" ht="34" customHeight="1">
      <x:c r="A7" s="100" t="str">
        <x:v>QH-IR-0003</x:v>
      </x:c>
      <x:c r="B7" s="100" t="str">
        <x:v>QH-V-E04D</x:v>
      </x:c>
      <x:c r="C7" s="100" t="str">
        <x:v>奏折正文</x:v>
      </x:c>
      <x:c r="D7" s="100" t="str">
        <x:v>0.05</x:v>
      </x:c>
      <x:c r="E7" s="100" t="str">
        <x:v>0.15</x:v>
      </x:c>
      <x:c r="F7" s="100" t="str">
        <x:v>0.90</x:v>
      </x:c>
      <x:c r="G7" s="100" t="str">
        <x:v>0.75</x:v>
      </x:c>
      <x:c r="H7" s="100" t="str">
        <x:v>QH-A-KX-0004</x:v>
      </x:c>
      <x:c r="I7" s="100" t="str">
        <x:v>支持</x:v>
      </x:c>
      <x:c r="J7" s="100" t="str">
        <x:v>臣工奏报正文；黑字为臣工所书</x:v>
      </x:c>
    </x:row>
    <x:row r="8" ht="34" customHeight="1">
      <x:c r="A8" s="100" t="str">
        <x:v>QH-IR-0004</x:v>
      </x:c>
      <x:c r="B8" s="100" t="str">
        <x:v>QH-V-E05C</x:v>
      </x:c>
      <x:c r="C8" s="100" t="str">
        <x:v>朱批谕旨</x:v>
      </x:c>
      <x:c r="D8" s="100" t="str">
        <x:v>0.05</x:v>
      </x:c>
      <x:c r="E8" s="100" t="str">
        <x:v>0.05</x:v>
      </x:c>
      <x:c r="F8" s="100" t="str">
        <x:v>0.90</x:v>
      </x:c>
      <x:c r="G8" s="100" t="str">
        <x:v>0.15</x:v>
      </x:c>
      <x:c r="H8" s="100" t="str">
        <x:v>QH-A-YZ-0001</x:v>
      </x:c>
      <x:c r="I8" s="100" t="str">
        <x:v>支持</x:v>
      </x:c>
      <x:c r="J8" s="100" t="str">
        <x:v>雍正朱批谕旨刻本选编；朱批为皇帝亲笔</x:v>
      </x:c>
    </x:row>
    <x:row r="9" ht="34" customHeight="1">
      <x:c r="A9" s="100" t="str">
        <x:v>QH-IR-0005</x:v>
      </x:c>
      <x:c r="B9" s="100" t="str">
        <x:v>QH-V-E06E</x:v>
      </x:c>
      <x:c r="C9" s="100" t="str">
        <x:v>碑文正文</x:v>
      </x:c>
      <x:c r="D9" s="100" t="str">
        <x:v>0.08</x:v>
      </x:c>
      <x:c r="E9" s="100" t="str">
        <x:v>0.10</x:v>
      </x:c>
      <x:c r="F9" s="100" t="str">
        <x:v>0.84</x:v>
      </x:c>
      <x:c r="G9" s="100" t="str">
        <x:v>0.70</x:v>
      </x:c>
      <x:c r="H9" s="100" t="str">
        <x:v>QH-A-KX-0003</x:v>
      </x:c>
      <x:c r="I9" s="100" t="str">
        <x:v>支持</x:v>
      </x:c>
      <x:c r="J9" s="100" t="str">
        <x:v>乾隆御书《兰亭序》；与康熙碑为同一临写系统不同时期</x:v>
      </x:c>
    </x:row>
    <x:row r="10" ht="34" customHeight="1">
      <x:c r="A10" s="100" t="str">
        <x:v>QH-IR-0006</x:v>
      </x:c>
      <x:c r="B10" s="100" t="str">
        <x:v>QH-V-E04</x:v>
      </x:c>
      <x:c r="C10" s="100" t="str">
        <x:v>面部</x:v>
      </x:c>
      <x:c r="D10" s="100" t="str">
        <x:v>0.43</x:v>
      </x:c>
      <x:c r="E10" s="100" t="str">
        <x:v>0.165</x:v>
      </x:c>
      <x:c r="F10" s="100" t="str">
        <x:v>0.14</x:v>
      </x:c>
      <x:c r="G10" s="100" t="str">
        <x:v>0.095</x:v>
      </x:c>
      <x:c r="H10" s="100" t="str"/>
      <x:c r="I10" s="100" t="str"/>
      <x:c r="J10" s="100" t="str">
        <x:v>面部描绘；朝服像定名依馆藏目录，不是面部识别结果</x:v>
      </x:c>
    </x:row>
    <x:row r="11" ht="34" customHeight="1">
      <x:c r="A11" s="100" t="str">
        <x:v>QH-IR-0007</x:v>
      </x:c>
      <x:c r="B11" s="100" t="str">
        <x:v>QH-V-E04H</x:v>
      </x:c>
      <x:c r="C11" s="100" t="str">
        <x:v>朱批区</x:v>
      </x:c>
      <x:c r="D11" s="100" t="str">
        <x:v>0.073</x:v>
      </x:c>
      <x:c r="E11" s="100" t="str">
        <x:v>0.03</x:v>
      </x:c>
      <x:c r="F11" s="100" t="str">
        <x:v>0.145</x:v>
      </x:c>
      <x:c r="G11" s="100" t="str">
        <x:v>0.82</x:v>
      </x:c>
      <x:c r="H11" s="100" t="str"/>
      <x:c r="I11" s="100" t="str"/>
      <x:c r="J11" s="100" t="str">
        <x:v>红笔朱批「知道了西洋漢人内若有這樣學問或行醫者汝尋訪送京中」</x:v>
      </x:c>
    </x:row>
    <x:row r="12" ht="34" customHeight="1">
      <x:c r="A12" s="100" t="str">
        <x:v>QH-IR-0008</x:v>
      </x:c>
      <x:c r="B12" s="100" t="str">
        <x:v>QH-V-E04H</x:v>
      </x:c>
      <x:c r="C12" s="100" t="str">
        <x:v>奏折正文</x:v>
      </x:c>
      <x:c r="D12" s="100" t="str">
        <x:v>0.46</x:v>
      </x:c>
      <x:c r="E12" s="100" t="str">
        <x:v>0.03</x:v>
      </x:c>
      <x:c r="F12" s="100" t="str">
        <x:v>0.52</x:v>
      </x:c>
      <x:c r="G12" s="100" t="str">
        <x:v>0.82</x:v>
      </x:c>
      <x:c r="H12" s="100" t="str"/>
      <x:c r="I12" s="100" t="str"/>
      <x:c r="J12" s="100" t="str">
        <x:v>杨琳等黑字奏报正文；黑字为臣工所书</x:v>
      </x:c>
    </x:row>
    <x:row r="13" ht="34" customHeight="1">
      <x:c r="A13" s="100" t="str">
        <x:v>QH-IR-0009</x:v>
      </x:c>
      <x:c r="B13" s="100" t="str">
        <x:v>QH-V-E04H</x:v>
      </x:c>
      <x:c r="C13" s="100" t="str">
        <x:v>日期具名</x:v>
      </x:c>
      <x:c r="D13" s="100" t="str">
        <x:v>0.05</x:v>
      </x:c>
      <x:c r="E13" s="100" t="str">
        <x:v>0.28</x:v>
      </x:c>
      <x:c r="F13" s="100" t="str">
        <x:v>0.035</x:v>
      </x:c>
      <x:c r="G13" s="100" t="str">
        <x:v>0.57</x:v>
      </x:c>
      <x:c r="H13" s="100" t="str"/>
      <x:c r="I13" s="100" t="str"/>
      <x:c r="J13" s="100" t="str">
        <x:v>康熙伍拾柒年柒月拾陸日 奴才楊琳</x:v>
      </x:c>
    </x:row>
    <x:row r="14" ht="34" customHeight="1">
      <x:c r="A14" s="100" t="str">
        <x:v>QH-IR-0010</x:v>
      </x:c>
      <x:c r="B14" s="100" t="str">
        <x:v>QH-V-E07B</x:v>
      </x:c>
      <x:c r="C14" s="100" t="str">
        <x:v>朱批区</x:v>
      </x:c>
      <x:c r="D14" s="100" t="str">
        <x:v>0.01</x:v>
      </x:c>
      <x:c r="E14" s="100" t="str">
        <x:v>0.08</x:v>
      </x:c>
      <x:c r="F14" s="100" t="str">
        <x:v>0.39</x:v>
      </x:c>
      <x:c r="G14" s="100" t="str">
        <x:v>0.90</x:v>
      </x:c>
      <x:c r="H14" s="100" t="str"/>
      <x:c r="I14" s="100" t="str"/>
      <x:c r="J14" s="100" t="str">
        <x:v>红笔朱批「覽卿奏深愜朕懷」等；嘉庆亲笔</x:v>
      </x:c>
    </x:row>
    <x:row r="15" ht="34" customHeight="1">
      <x:c r="A15" s="100" t="str">
        <x:v>QH-IR-0011</x:v>
      </x:c>
      <x:c r="B15" s="100" t="str">
        <x:v>QH-V-E07B</x:v>
      </x:c>
      <x:c r="C15" s="100" t="str">
        <x:v>奏折正文</x:v>
      </x:c>
      <x:c r="D15" s="100" t="str">
        <x:v>0.42</x:v>
      </x:c>
      <x:c r="E15" s="100" t="str">
        <x:v>0.08</x:v>
      </x:c>
      <x:c r="F15" s="100" t="str">
        <x:v>0.57</x:v>
      </x:c>
      <x:c r="G15" s="100" t="str">
        <x:v>0.90</x:v>
      </x:c>
      <x:c r="H15" s="100" t="str"/>
      <x:c r="I15" s="100" t="str"/>
      <x:c r="J15" s="100" t="str">
        <x:v>陕甘总督长龄黑字奏报；嘉庆二十五年十二月二十六日</x:v>
      </x:c>
    </x:row>
    <x:row r="16" ht="34" customHeight="1">
      <x:c r="A16" s="100" t="str">
        <x:v>QH-IR-0012</x:v>
      </x:c>
      <x:c r="B16" s="100" t="str">
        <x:v>QH-V-E05I</x:v>
      </x:c>
      <x:c r="C16" s="100" t="str">
        <x:v>朱批区</x:v>
      </x:c>
      <x:c r="D16" s="100" t="str">
        <x:v>0.06</x:v>
      </x:c>
      <x:c r="E16" s="100" t="str">
        <x:v>0.05</x:v>
      </x:c>
      <x:c r="F16" s="100" t="str">
        <x:v>0.14</x:v>
      </x:c>
      <x:c r="G16" s="100" t="str">
        <x:v>0.9</x:v>
      </x:c>
      <x:c r="H16" s="100" t="str"/>
      <x:c r="I16" s="100" t="str"/>
      <x:c r="J16" s="100" t="str">
        <x:v>红笔雍正亲笔朱批</x:v>
      </x:c>
    </x:row>
    <x:row r="17" ht="34" customHeight="1">
      <x:c r="A17" s="100" t="str">
        <x:v>QH-IR-0013</x:v>
      </x:c>
      <x:c r="B17" s="100" t="str">
        <x:v>QH-V-E05I</x:v>
      </x:c>
      <x:c r="C17" s="100" t="str">
        <x:v>奏折正文</x:v>
      </x:c>
      <x:c r="D17" s="100" t="str">
        <x:v>0.21</x:v>
      </x:c>
      <x:c r="E17" s="100" t="str">
        <x:v>0.05</x:v>
      </x:c>
      <x:c r="F17" s="100" t="str">
        <x:v>0.76</x:v>
      </x:c>
      <x:c r="G17" s="100" t="str">
        <x:v>0.9</x:v>
      </x:c>
      <x:c r="H17" s="100" t="str"/>
      <x:c r="I17" s="100" t="str"/>
      <x:c r="J17" s="100" t="str">
        <x:v>马会伯黑字奏报</x:v>
      </x:c>
    </x:row>
    <x:row r="18" ht="34" customHeight="1">
      <x:c r="A18" s="100" t="str">
        <x:v>QH-IR-0014</x:v>
      </x:c>
      <x:c r="B18" s="100" t="str">
        <x:v>QH-V-E06L</x:v>
      </x:c>
      <x:c r="C18" s="100" t="str">
        <x:v>引谕列</x:v>
      </x:c>
      <x:c r="D18" s="100" t="str">
        <x:v>0.0</x:v>
      </x:c>
      <x:c r="E18" s="100" t="str">
        <x:v>0.08</x:v>
      </x:c>
      <x:c r="F18" s="100" t="str">
        <x:v>0.06</x:v>
      </x:c>
      <x:c r="G18" s="100" t="str">
        <x:v>0.9</x:v>
      </x:c>
      <x:c r="H18" s="100" t="str"/>
      <x:c r="I18" s="100" t="str"/>
      <x:c r="J18" s="100" t="str">
        <x:v>「旨敬謹辦理」起列；引收谕，非本件朱批</x:v>
      </x:c>
    </x:row>
    <x:row r="19" ht="34" customHeight="1">
      <x:c r="A19" s="100" t="str">
        <x:v>QH-IR-0015</x:v>
      </x:c>
      <x:c r="B19" s="100" t="str">
        <x:v>QH-V-E06L</x:v>
      </x:c>
      <x:c r="C19" s="100" t="str">
        <x:v>引谕列二</x:v>
      </x:c>
      <x:c r="D19" s="100" t="str">
        <x:v>0.61</x:v>
      </x:c>
      <x:c r="E19" s="100" t="str">
        <x:v>0.10</x:v>
      </x:c>
      <x:c r="F19" s="100" t="str">
        <x:v>0.05</x:v>
      </x:c>
      <x:c r="G19" s="100" t="str">
        <x:v>0.55</x:v>
      </x:c>
      <x:c r="H19" s="100" t="str"/>
      <x:c r="I19" s="100" t="str"/>
      <x:c r="J19" s="100" t="str">
        <x:v>「旨一併發交到」引谕</x:v>
      </x:c>
    </x:row>
  </x:sheetData>
  <x:mergeCells>
    <x:mergeCell ref="A1:J1"/>
    <x:mergeCell ref="A2:J2"/>
  </x:mergeCells>
  <x:pageMargins left="0.7" right="0.7" top="0.75" bottom="0.75" header="0.3" footer="0.3"/>
  <x:tableParts count="1">
    <x:tablePart xmlns:r="http://schemas.openxmlformats.org/officeDocument/2006/relationships" r:id="R9fadb5d156a240b0"/>
  </x:tableParts>
</x:worksheet>
</file>

<file path=xl/worksheets/sheet16.xml><?xml version="1.0" encoding="utf-8"?>
<x:worksheet xmlns:x="http://schemas.openxmlformats.org/spreadsheetml/2006/main">
  <x:sheetViews>
    <x:sheetView showGridLines="0" workbookViewId="0"/>
  </x:sheetViews>
  <x:sheetFormatPr defaultRowHeight="15"/>
  <x:cols>
    <x:col min="1" max="1" width="14" hidden="0" customWidth="1"/>
    <x:col min="2" max="2" width="13" hidden="0" customWidth="1"/>
    <x:col min="3" max="3" width="36" hidden="0" customWidth="1"/>
    <x:col min="4" max="4" width="38" hidden="0" customWidth="1"/>
    <x:col min="5" max="5" width="32" hidden="0" customWidth="1"/>
    <x:col min="6" max="6" width="50" hidden="0" customWidth="1"/>
    <x:col min="7" max="7" width="14" hidden="0" customWidth="1"/>
    <x:col min="8" max="8" width="32" hidden="0" customWidth="1"/>
    <x:col min="9" max="9" width="38" hidden="0" customWidth="1"/>
    <x:col min="10" max="10" width="13" hidden="0" customWidth="1"/>
    <x:col min="11" max="11" width="28" hidden="0" customWidth="1"/>
  </x:cols>
  <x:sheetData>
    <x:row r="1" ht="34" customHeight="1">
      <x:c r="A1" s="3" t="str">
        <x:v>决策日志</x:v>
      </x:c>
    </x:row>
    <x:row r="2" ht="24" customHeight="1">
      <x:c r="A2" s="6" t="str">
        <x:v>任何会改变范围、数据模型、权利边界或批次顺序的决定都应登记，保证后续轮次知道为何这样做</x:v>
      </x:c>
    </x:row>
    <x:row r="4" ht="32" customHeight="1">
      <x:c r="A4" s="92" t="str">
        <x:v>决策 ID</x:v>
      </x:c>
      <x:c r="B4" s="93" t="str">
        <x:v>日期</x:v>
      </x:c>
      <x:c r="C4" s="93" t="str">
        <x:v>问题</x:v>
      </x:c>
      <x:c r="D4" s="93" t="str">
        <x:v>考虑的选项</x:v>
      </x:c>
      <x:c r="E4" s="93" t="str">
        <x:v>最终决定</x:v>
      </x:c>
      <x:c r="F4" s="93" t="str">
        <x:v>理由与证据</x:v>
      </x:c>
      <x:c r="G4" s="93" t="str">
        <x:v>决策人</x:v>
      </x:c>
      <x:c r="H4" s="93" t="str">
        <x:v>影响</x:v>
      </x:c>
      <x:c r="I4" s="93" t="str">
        <x:v>复核触发器</x:v>
      </x:c>
      <x:c r="J4" s="93" t="str">
        <x:v>状态</x:v>
      </x:c>
      <x:c r="K4" s="94" t="str">
        <x:v>备注</x:v>
      </x:c>
    </x:row>
    <x:row r="5" ht="46" customHeight="1">
      <x:c r="A5" s="99" t="str">
        <x:v>DEC-001</x:v>
      </x:c>
      <x:c r="B5" s="107" t="n">
        <x:v>46246</x:v>
      </x:c>
      <x:c r="C5" s="99" t="str">
        <x:v>底层最小单位是什么</x:v>
      </x:c>
      <x:c r="D5" s="99" t="str">
        <x:v>文章；事实表；可溯源主张</x:v>
      </x:c>
      <x:c r="E5" s="99" t="str">
        <x:v>可溯源主张</x:v>
      </x:c>
      <x:c r="F5" s="99" t="str">
        <x:v>文章无法表达冲突、版本与逐条证据</x:v>
      </x:c>
      <x:c r="G5" s="103" t="str">
        <x:v>用户＋AI</x:v>
      </x:c>
      <x:c r="H5" s="103" t="str">
        <x:v>全局数据与产品</x:v>
      </x:c>
      <x:c r="I5" s="103" t="str">
        <x:v>若真实难例无法表达则重开</x:v>
      </x:c>
      <x:c r="J5" s="103" t="str">
        <x:v>已决定</x:v>
      </x:c>
      <x:c r="K5" s="103" t="str"/>
    </x:row>
    <x:row r="6" ht="46" customHeight="1">
      <x:c r="A6" s="100" t="str">
        <x:v>DEC-002</x:v>
      </x:c>
      <x:c r="B6" s="108" t="n">
        <x:v>46246</x:v>
      </x:c>
      <x:c r="C6" s="100" t="str">
        <x:v>第一阶段范围</x:v>
      </x:c>
      <x:c r="D6" s="100" t="str">
        <x:v>只做康雍；先建十二帝骨架再深挖康熙</x:v>
      </x:c>
      <x:c r="E6" s="100" t="str">
        <x:v>十二帝骨架＋康熙样卷</x:v>
      </x:c>
      <x:c r="F6" s="100" t="str">
        <x:v>既提供全朝导航又避免十二帝同时浅写</x:v>
      </x:c>
      <x:c r="G6" s="104" t="str">
        <x:v>用户＋AI</x:v>
      </x:c>
      <x:c r="H6" s="104" t="str">
        <x:v>范围与样本</x:v>
      </x:c>
      <x:c r="I6" s="104" t="str">
        <x:v>若康熙模板不能复用则重开</x:v>
      </x:c>
      <x:c r="J6" s="104" t="str">
        <x:v>已决定</x:v>
      </x:c>
      <x:c r="K6" s="104" t="str"/>
    </x:row>
    <x:row r="7" ht="46" customHeight="1">
      <x:c r="A7" s="100" t="str">
        <x:v>DEC-003</x:v>
      </x:c>
      <x:c r="B7" s="108" t="n">
        <x:v>46246</x:v>
      </x:c>
      <x:c r="C7" s="100" t="str">
        <x:v>史料是否设全局可信度分数</x:v>
      </x:c>
      <x:c r="D7" s="100" t="str">
        <x:v>单一分数；按材料性质和具体命题判断</x:v>
      </x:c>
      <x:c r="E7" s="100" t="str">
        <x:v>不设全局分数</x:v>
      </x:c>
      <x:c r="F7" s="100" t="str">
        <x:v>同一史料对不同问题的证据价值不同</x:v>
      </x:c>
      <x:c r="G7" s="104" t="str">
        <x:v>AI</x:v>
      </x:c>
      <x:c r="H7" s="104" t="str">
        <x:v>审核方法</x:v>
      </x:c>
      <x:c r="I7" s="104" t="str">
        <x:v>若用户无法理解证据状态则改展示</x:v>
      </x:c>
      <x:c r="J7" s="104" t="str">
        <x:v>已决定</x:v>
      </x:c>
      <x:c r="K7" s="104" t="str"/>
    </x:row>
    <x:row r="8" ht="46" customHeight="1">
      <x:c r="A8" s="100" t="str">
        <x:v>DEC-004</x:v>
      </x:c>
      <x:c r="B8" s="108" t="n">
        <x:v>46246</x:v>
      </x:c>
      <x:c r="C8" s="100" t="str">
        <x:v>未确认权利图像如何处理</x:v>
      </x:c>
      <x:c r="D8" s="100" t="str">
        <x:v>先展示；仅元数据外链；禁用记录</x:v>
      </x:c>
      <x:c r="E8" s="100" t="str">
        <x:v>黄色仅元数据＋外链；红色禁发</x:v>
      </x:c>
      <x:c r="F8" s="100" t="str">
        <x:v>公开可见不等于可再利用</x:v>
      </x:c>
      <x:c r="G8" s="104" t="str">
        <x:v>AI</x:v>
      </x:c>
      <x:c r="H8" s="104" t="str">
        <x:v>图像与法律风险</x:v>
      </x:c>
      <x:c r="I8" s="104" t="str">
        <x:v>获得许可或明确开放标记</x:v>
      </x:c>
      <x:c r="J8" s="104" t="str">
        <x:v>已决定</x:v>
      </x:c>
      <x:c r="K8" s="104" t="str"/>
    </x:row>
    <x:row r="9" ht="46" customHeight="1">
      <x:c r="A9" s="100" t="str">
        <x:v>DEC-005</x:v>
      </x:c>
      <x:c r="B9" s="108" t="n">
        <x:v>46246</x:v>
      </x:c>
      <x:c r="C9" s="100" t="str">
        <x:v>AI 的状态边界</x:v>
      </x:c>
      <x:c r="D9" s="100" t="str">
        <x:v>自动认定；来源回查；用户抽查</x:v>
      </x:c>
      <x:c r="E9" s="100" t="str">
        <x:v>机器提取与来源回查分层</x:v>
      </x:c>
      <x:c r="F9" s="100" t="str">
        <x:v>流畅输出可能放大历史错误</x:v>
      </x:c>
      <x:c r="G9" s="104" t="str">
        <x:v>用户＋AI</x:v>
      </x:c>
      <x:c r="H9" s="104" t="str">
        <x:v>编辑与技术</x:v>
      </x:c>
      <x:c r="I9" s="104" t="str">
        <x:v>不得把M0伪装成已核验</x:v>
      </x:c>
      <x:c r="J9" s="104" t="str">
        <x:v>已决定</x:v>
      </x:c>
      <x:c r="K9" s="104" t="str"/>
    </x:row>
    <x:row r="10" ht="46" customHeight="1">
      <x:c r="A10" s="100" t="str">
        <x:v>DEC-006</x:v>
      </x:c>
      <x:c r="B10" s="108" t="n">
        <x:v>46246</x:v>
      </x:c>
      <x:c r="C10" s="100" t="str">
        <x:v>未知冲突与缺失如何保存</x:v>
      </x:c>
      <x:c r="D10" s="100" t="str">
        <x:v>备注；覆盖；正式状态</x:v>
      </x:c>
      <x:c r="E10" s="100" t="str">
        <x:v>作为正式数据状态</x:v>
      </x:c>
      <x:c r="F10" s="100" t="str">
        <x:v>不确定性本身是研究结果</x:v>
      </x:c>
      <x:c r="G10" s="104" t="str">
        <x:v>AI</x:v>
      </x:c>
      <x:c r="H10" s="104" t="str">
        <x:v>数据模型</x:v>
      </x:c>
      <x:c r="I10" s="104" t="str">
        <x:v>无</x:v>
      </x:c>
      <x:c r="J10" s="104" t="str">
        <x:v>已决定</x:v>
      </x:c>
      <x:c r="K10" s="104" t="str"/>
    </x:row>
    <x:row r="11" ht="46" customHeight="1">
      <x:c r="A11" s="100" t="str">
        <x:v>DEC-007</x:v>
      </x:c>
      <x:c r="B11" s="108" t="n">
        <x:v>46246</x:v>
      </x:c>
      <x:c r="C11" s="100" t="str">
        <x:v>现金预算</x:v>
      </x:c>
      <x:c r="D11" s="100" t="str">
        <x:v>机构预算；个人零预算</x:v>
      </x:c>
      <x:c r="E11" s="100" t="str">
        <x:v>固定0元</x:v>
      </x:c>
      <x:c r="F11" s="100" t="str">
        <x:v>使用现有工具和公开资料；付费材料登记缺口</x:v>
      </x:c>
      <x:c r="G11" s="104" t="str">
        <x:v>用户</x:v>
      </x:c>
      <x:c r="H11" s="104" t="str">
        <x:v>全项目</x:v>
      </x:c>
      <x:c r="I11" s="104" t="str">
        <x:v>用户主动改变约束时重开</x:v>
      </x:c>
      <x:c r="J11" s="104" t="str">
        <x:v>已决定</x:v>
      </x:c>
      <x:c r="K11" s="104" t="str"/>
    </x:row>
    <x:row r="12" ht="46" customHeight="1">
      <x:c r="A12" s="100" t="str">
        <x:v>DEC-008</x:v>
      </x:c>
      <x:c r="B12" s="108" t="n">
        <x:v>46246</x:v>
      </x:c>
      <x:c r="C12" s="100" t="str">
        <x:v>本地数据技术</x:v>
      </x:c>
      <x:c r="D12" s="100" t="str">
        <x:v>复杂数据库；CSV/Markdown/SQLite</x:v>
      </x:c>
      <x:c r="E12" s="100" t="str">
        <x:v>先用CSV和Markdown；需要时SQLite</x:v>
      </x:c>
      <x:c r="F12" s="100" t="str">
        <x:v>当前规模不值得先上云服务或图数据库</x:v>
      </x:c>
      <x:c r="G12" s="104" t="str">
        <x:v>AI</x:v>
      </x:c>
      <x:c r="H12" s="104" t="str">
        <x:v>技术架构</x:v>
      </x:c>
      <x:c r="I12" s="104" t="str">
        <x:v>查询或一致性需求证明不足</x:v>
      </x:c>
      <x:c r="J12" s="104" t="str">
        <x:v>已决定</x:v>
      </x:c>
      <x:c r="K12" s="104" t="str"/>
    </x:row>
    <x:row r="13" ht="46" customHeight="1">
      <x:c r="A13" s="100" t="str">
        <x:v>DEC-009</x:v>
      </x:c>
      <x:c r="B13" s="108" t="n">
        <x:v>46246</x:v>
      </x:c>
      <x:c r="C13" s="100" t="str">
        <x:v>《清史稿》的角色</x:v>
      </x:c>
      <x:c r="D13" s="100" t="str">
        <x:v>最终事实层；线索与后出史料</x:v>
      </x:c>
      <x:c r="E13" s="100" t="str">
        <x:v>线索与一类后出证据</x:v>
      </x:c>
      <x:c r="F13" s="100" t="str">
        <x:v>它是未定稿且存在错讹，核心主张不得仅靠它</x:v>
      </x:c>
      <x:c r="G13" s="104" t="str">
        <x:v>AI</x:v>
      </x:c>
      <x:c r="H13" s="104" t="str">
        <x:v>来源政策</x:v>
      </x:c>
      <x:c r="I13" s="104" t="str">
        <x:v>无</x:v>
      </x:c>
      <x:c r="J13" s="104" t="str">
        <x:v>已决定</x:v>
      </x:c>
      <x:c r="K13" s="104" t="str"/>
    </x:row>
  </x:sheetData>
  <x:mergeCells>
    <x:mergeCell ref="A1:K1"/>
    <x:mergeCell ref="A2:K2"/>
  </x:mergeCells>
  <x:conditionalFormatting sqref="J5:J13">
    <x:cfRule type="containsText" dxfId="60" priority="1" operator="containsText" text="已完成"/>
    <x:cfRule type="containsText" dxfId="61" priority="2" operator="containsText" text="已通过"/>
    <x:cfRule type="containsText" dxfId="62" priority="3" operator="containsText" text="进行中"/>
    <x:cfRule type="containsText" dxfId="63" priority="4" operator="containsText" text="待审核"/>
    <x:cfRule type="containsText" dxfId="64" priority="5" operator="containsText" text="阻塞"/>
  </x:conditionalFormatting>
  <x:dataValidations count="1">
    <x:dataValidation type="list" sqref="J5:J13">
      <x:formula1>"待决定,已决定,已取代,已重开"</x:formula1>
    </x:dataValidation>
  </x:dataValidations>
  <x:pageMargins left="0.7" right="0.7" top="0.75" bottom="0.75" header="0.3" footer="0.3"/>
  <x:tableParts count="1">
    <x:tablePart xmlns:r="http://schemas.openxmlformats.org/officeDocument/2006/relationships" r:id="R138f8e970aec4332"/>
  </x:tableParts>
</x:worksheet>
</file>

<file path=xl/worksheets/sheet17.xml><?xml version="1.0" encoding="utf-8"?>
<x:worksheet xmlns:x="http://schemas.openxmlformats.org/spreadsheetml/2006/main">
  <x:sheetViews>
    <x:sheetView showGridLines="0" workbookViewId="0"/>
  </x:sheetViews>
  <x:sheetFormatPr defaultRowHeight="15"/>
  <x:cols>
    <x:col min="1" max="1" width="13" hidden="0" customWidth="1"/>
    <x:col min="2" max="2" width="34" hidden="0" customWidth="1"/>
    <x:col min="3" max="3" width="10" hidden="0" customWidth="1"/>
    <x:col min="4" max="4" width="10" hidden="0" customWidth="1"/>
    <x:col min="5" max="5" width="10" hidden="0" customWidth="1"/>
    <x:col min="6" max="6" width="42" hidden="0" customWidth="1"/>
    <x:col min="7" max="7" width="45" hidden="0" customWidth="1"/>
    <x:col min="8" max="8" width="16" hidden="0" customWidth="1"/>
    <x:col min="9" max="9" width="14" hidden="0" customWidth="1"/>
    <x:col min="10" max="10" width="16" hidden="0" customWidth="1"/>
  </x:cols>
  <x:sheetData>
    <x:row r="1" ht="34" customHeight="1">
      <x:c r="A1" s="3" t="str">
        <x:v>Phase 0 风险登记</x:v>
      </x:c>
    </x:row>
    <x:row r="2" ht="24" customHeight="1">
      <x:c r="A2" s="6" t="str">
        <x:v>风险分数 = 概率 × 影响；15–25 为红色、8–14 为黄色、1–7 为绿色。公式列不可手填。</x:v>
      </x:c>
    </x:row>
    <x:row r="4" ht="32" customHeight="1">
      <x:c r="A4" s="92" t="str">
        <x:v>风险 ID</x:v>
      </x:c>
      <x:c r="B4" s="93" t="str">
        <x:v>风险</x:v>
      </x:c>
      <x:c r="C4" s="93" t="str">
        <x:v>概率 P</x:v>
      </x:c>
      <x:c r="D4" s="93" t="str">
        <x:v>影响 I</x:v>
      </x:c>
      <x:c r="E4" s="93" t="str">
        <x:v>分数</x:v>
      </x:c>
      <x:c r="F4" s="93" t="str">
        <x:v>早期触发信号</x:v>
      </x:c>
      <x:c r="G4" s="93" t="str">
        <x:v>应对措施</x:v>
      </x:c>
      <x:c r="H4" s="93" t="str">
        <x:v>责任角色</x:v>
      </x:c>
      <x:c r="I4" s="93" t="str">
        <x:v>状态</x:v>
      </x:c>
      <x:c r="J4" s="94" t="str">
        <x:v>截止/复核日期</x:v>
      </x:c>
    </x:row>
    <x:row r="5" ht="40" customHeight="1">
      <x:c r="A5" s="99" t="str">
        <x:v>R01</x:v>
      </x:c>
      <x:c r="B5" s="99" t="str">
        <x:v>范围从逐批推进膨胀为一次做完</x:v>
      </x:c>
      <x:c r="C5" s="99" t="n">
        <x:v>5</x:v>
      </x:c>
      <x:c r="D5" s="99" t="n">
        <x:v>5</x:v>
      </x:c>
      <x:c r="E5" s="99" t="n">
        <x:f>C5*D5</x:f>
        <x:v>25</x:v>
      </x:c>
      <x:c r="F5" s="99" t="str">
        <x:v>不断加人加专题而首批未回查</x:v>
      </x:c>
      <x:c r="G5" s="99" t="str">
        <x:v>所有新增进入任务队列；每轮只做一个来源或20—30条主张</x:v>
      </x:c>
      <x:c r="H5" s="103" t="str">
        <x:v>用户、AI</x:v>
      </x:c>
      <x:c r="I5" s="103" t="str">
        <x:v>开放</x:v>
      </x:c>
      <x:c r="J5" s="105" t="str"/>
    </x:row>
    <x:row r="6" ht="40" customHeight="1">
      <x:c r="A6" s="100" t="str">
        <x:v>R02</x:v>
      </x:c>
      <x:c r="B6" s="100" t="str">
        <x:v>把《清史稿》当最终事实库</x:v>
      </x:c>
      <x:c r="C6" s="100" t="n">
        <x:v>4</x:v>
      </x:c>
      <x:c r="D6" s="100" t="n">
        <x:v>5</x:v>
      </x:c>
      <x:c r="E6" s="100" t="n">
        <x:f>C6*D6</x:f>
        <x:v>20</x:v>
      </x:c>
      <x:c r="F6" s="100" t="str">
        <x:v>大量主张只有《清史稿》单一出处</x:v>
      </x:c>
      <x:c r="G6" s="100" t="str">
        <x:v>高风险事实回到实录、档案或独立来源；固定未定稿提示</x:v>
      </x:c>
      <x:c r="H6" s="104" t="str">
        <x:v>AI</x:v>
      </x:c>
      <x:c r="I6" s="104" t="str">
        <x:v>开放</x:v>
      </x:c>
      <x:c r="J6" s="106" t="str"/>
    </x:row>
    <x:row r="7" ht="40" customHeight="1">
      <x:c r="A7" s="100" t="str">
        <x:v>R03</x:v>
      </x:c>
      <x:c r="B7" s="100" t="str">
        <x:v>玉牒被简化为静态家谱</x:v>
      </x:c>
      <x:c r="C7" s="100" t="n">
        <x:v>4</x:v>
      </x:c>
      <x:c r="D7" s="100" t="n">
        <x:v>5</x:v>
      </x:c>
      <x:c r="E7" s="100" t="n">
        <x:f>C7*D7</x:f>
        <x:v>20</x:v>
      </x:c>
      <x:c r="F7" s="100" t="str">
        <x:v>无版本无有效时间且母系关系混写</x:v>
      </x:c>
      <x:c r="G7" s="100" t="str">
        <x:v>关系绑定版本与时间；原件未见标玉牒待核</x:v>
      </x:c>
      <x:c r="H7" s="104" t="str">
        <x:v>AI、用户</x:v>
      </x:c>
      <x:c r="I7" s="104" t="str">
        <x:v>开放</x:v>
      </x:c>
      <x:c r="J7" s="106" t="str"/>
    </x:row>
    <x:row r="8" ht="40" customHeight="1">
      <x:c r="A8" s="100" t="str">
        <x:v>R04</x:v>
      </x:c>
      <x:c r="B8" s="100" t="str">
        <x:v>版权或档案公布权误判</x:v>
      </x:c>
      <x:c r="C8" s="100" t="n">
        <x:v>4</x:v>
      </x:c>
      <x:c r="D8" s="100" t="n">
        <x:v>5</x:v>
      </x:c>
      <x:c r="E8" s="100" t="n">
        <x:f>C8*D8</x:f>
        <x:v>20</x:v>
      </x:c>
      <x:c r="F8" s="100" t="str">
        <x:v>把网页能看等同于能抓取</x:v>
      </x:c>
      <x:c r="G8" s="100" t="str">
        <x:v>三色台账先行；黄色外链；逐文件核许可</x:v>
      </x:c>
      <x:c r="H8" s="104" t="str">
        <x:v>AI</x:v>
      </x:c>
      <x:c r="I8" s="104" t="str">
        <x:v>开放</x:v>
      </x:c>
      <x:c r="J8" s="106" t="str"/>
    </x:row>
    <x:row r="9" ht="40" customHeight="1">
      <x:c r="A9" s="100" t="str">
        <x:v>R05</x:v>
      </x:c>
      <x:c r="B9" s="100" t="str">
        <x:v>AI 幻觉进入发布层</x:v>
      </x:c>
      <x:c r="C9" s="100" t="n">
        <x:v>4</x:v>
      </x:c>
      <x:c r="D9" s="100" t="n">
        <x:v>5</x:v>
      </x:c>
      <x:c r="E9" s="100" t="n">
        <x:f>C9*D9</x:f>
        <x:v>20</x:v>
      </x:c>
      <x:c r="F9" s="100" t="str">
        <x:v>流畅文本无 Assertion ID 或卷页</x:v>
      </x:c>
      <x:c r="G9" s="100" t="str">
        <x:v>隔离机器候选和回查层；M0不得进叙事</x:v>
      </x:c>
      <x:c r="H9" s="104" t="str">
        <x:v>AI、用户</x:v>
      </x:c>
      <x:c r="I9" s="104" t="str">
        <x:v>开放</x:v>
      </x:c>
      <x:c r="J9" s="106" t="str"/>
    </x:row>
    <x:row r="10" ht="40" customHeight="1">
      <x:c r="A10" s="100" t="str">
        <x:v>R06</x:v>
      </x:c>
      <x:c r="B10" s="100" t="str">
        <x:v>人物异名误合并</x:v>
      </x:c>
      <x:c r="C10" s="100" t="n">
        <x:v>4</x:v>
      </x:c>
      <x:c r="D10" s="100" t="n">
        <x:v>5</x:v>
      </x:c>
      <x:c r="E10" s="100" t="n">
        <x:f>C10*D10</x:f>
        <x:v>20</x:v>
      </x:c>
      <x:c r="F10" s="100" t="str">
        <x:v>同名人物共享亲属或任官记录</x:v>
      </x:c>
      <x:c r="G10" s="100" t="str">
        <x:v>合并需证据、第二Agent复查且可回滚</x:v>
      </x:c>
      <x:c r="H10" s="104" t="str">
        <x:v>AI</x:v>
      </x:c>
      <x:c r="I10" s="104" t="str">
        <x:v>开放</x:v>
      </x:c>
      <x:c r="J10" s="106" t="str"/>
    </x:row>
    <x:row r="11" ht="40" customHeight="1">
      <x:c r="A11" s="100" t="str">
        <x:v>R07</x:v>
      </x:c>
      <x:c r="B11" s="100" t="str">
        <x:v>历史日期换算错误</x:v>
      </x:c>
      <x:c r="C11" s="100" t="n">
        <x:v>3</x:v>
      </x:c>
      <x:c r="D11" s="100" t="n">
        <x:v>5</x:v>
      </x:c>
      <x:c r="E11" s="100" t="n">
        <x:f>C11*D11</x:f>
        <x:v>15</x:v>
      </x:c>
      <x:c r="F11" s="100" t="str">
        <x:v>闰月缺失或来源只存公历</x:v>
      </x:c>
      <x:c r="G11" s="100" t="str">
        <x:v>原值、算法版本、精度并存；用户抽查</x:v>
      </x:c>
      <x:c r="H11" s="104" t="str">
        <x:v>AI、用户</x:v>
      </x:c>
      <x:c r="I11" s="104" t="str">
        <x:v>开放</x:v>
      </x:c>
      <x:c r="J11" s="106" t="str"/>
    </x:row>
    <x:row r="12" ht="40" customHeight="1">
      <x:c r="A12" s="100" t="str">
        <x:v>R08</x:v>
      </x:c>
      <x:c r="B12" s="100" t="str">
        <x:v>画像人物或年代错认</x:v>
      </x:c>
      <x:c r="C12" s="100" t="n">
        <x:v>3</x:v>
      </x:c>
      <x:c r="D12" s="100" t="n">
        <x:v>5</x:v>
      </x:c>
      <x:c r="E12" s="100" t="n">
        <x:f>C12*D12</x:f>
        <x:v>15</x:v>
      </x:c>
      <x:c r="F12" s="100" t="str">
        <x:v>把文件题名直接写成确定事实</x:v>
      </x:c>
      <x:c r="G12" s="100" t="str">
        <x:v>人物认定单列；保留旧定名、馆藏与争议</x:v>
      </x:c>
      <x:c r="H12" s="104" t="str">
        <x:v>AI</x:v>
      </x:c>
      <x:c r="I12" s="104" t="str">
        <x:v>开放</x:v>
      </x:c>
      <x:c r="J12" s="106" t="str"/>
    </x:row>
    <x:row r="13" ht="40" customHeight="1">
      <x:c r="A13" s="100" t="str">
        <x:v>R09</x:v>
      </x:c>
      <x:c r="B13" s="100" t="str">
        <x:v>录文标点译释相互覆盖</x:v>
      </x:c>
      <x:c r="C13" s="100" t="n">
        <x:v>3</x:v>
      </x:c>
      <x:c r="D13" s="100" t="n">
        <x:v>5</x:v>
      </x:c>
      <x:c r="E13" s="100" t="n">
        <x:f>C13*D13</x:f>
        <x:v>15</x:v>
      </x:c>
      <x:c r="F13" s="100" t="str">
        <x:v>数据库只有一列正文</x:v>
      </x:c>
      <x:c r="G13" s="100" t="str">
        <x:v>原文、录文、标点、规范化和译释分层</x:v>
      </x:c>
      <x:c r="H13" s="104" t="str">
        <x:v>AI</x:v>
      </x:c>
      <x:c r="I13" s="104" t="str">
        <x:v>开放</x:v>
      </x:c>
      <x:c r="J13" s="106" t="str"/>
    </x:row>
    <x:row r="14" ht="40" customHeight="1">
      <x:c r="A14" s="100" t="str">
        <x:v>R10</x:v>
      </x:c>
      <x:c r="B14" s="100" t="str">
        <x:v>满文材料被系统性忽略</x:v>
      </x:c>
      <x:c r="C14" s="100" t="n">
        <x:v>4</x:v>
      </x:c>
      <x:c r="D14" s="100" t="n">
        <x:v>4</x:v>
      </x:c>
      <x:c r="E14" s="100" t="n">
        <x:f>C14*D14</x:f>
        <x:v>16</x:v>
      </x:c>
      <x:c r="F14" s="100" t="str">
        <x:v>宫廷或边疆结论只用汉文材料</x:v>
      </x:c>
      <x:c r="G14" s="100" t="str">
        <x:v>明确标语言缺口；未经专项能力不自动定译</x:v>
      </x:c>
      <x:c r="H14" s="104" t="str">
        <x:v>AI</x:v>
      </x:c>
      <x:c r="I14" s="104" t="str">
        <x:v>开放</x:v>
      </x:c>
      <x:c r="J14" s="106" t="str"/>
    </x:row>
    <x:row r="15" ht="40" customHeight="1">
      <x:c r="A15" s="100" t="str">
        <x:v>R11</x:v>
      </x:c>
      <x:c r="B15" s="100" t="str">
        <x:v>巨大关系图不可读</x:v>
      </x:c>
      <x:c r="C15" s="100" t="n">
        <x:v>4</x:v>
      </x:c>
      <x:c r="D15" s="100" t="n">
        <x:v>3</x:v>
      </x:c>
      <x:c r="E15" s="100" t="n">
        <x:f>C15*D15</x:f>
        <x:v>12</x:v>
      </x:c>
      <x:c r="F15" s="100" t="str">
        <x:v>默认一次展开数百节点</x:v>
      </x:c>
      <x:c r="G15" s="100" t="str">
        <x:v>以人为中心、按需展开并可按时间和关系过滤</x:v>
      </x:c>
      <x:c r="H15" s="104" t="str">
        <x:v>AI</x:v>
      </x:c>
      <x:c r="I15" s="104" t="str">
        <x:v>开放</x:v>
      </x:c>
      <x:c r="J15" s="106" t="str"/>
    </x:row>
    <x:row r="16" ht="40" customHeight="1">
      <x:c r="A16" s="100" t="str">
        <x:v>R12</x:v>
      </x:c>
      <x:c r="B16" s="100" t="str">
        <x:v>过度工程拖慢内容</x:v>
      </x:c>
      <x:c r="C16" s="100" t="n">
        <x:v>3</x:v>
      </x:c>
      <x:c r="D16" s="100" t="n">
        <x:v>4</x:v>
      </x:c>
      <x:c r="E16" s="100" t="n">
        <x:f>C16*D16</x:f>
        <x:v>12</x:v>
      </x:c>
      <x:c r="F16" s="100" t="str">
        <x:v>先搭复杂数据库而真实条目未增加</x:v>
      </x:c>
      <x:c r="G16" s="100" t="str">
        <x:v>CSV/Markdown优先；SQLite不足时再升级</x:v>
      </x:c>
      <x:c r="H16" s="104" t="str">
        <x:v>AI</x:v>
      </x:c>
      <x:c r="I16" s="104" t="str">
        <x:v>开放</x:v>
      </x:c>
      <x:c r="J16" s="106" t="str"/>
    </x:row>
    <x:row r="17" ht="40" customHeight="1">
      <x:c r="A17" s="100" t="str">
        <x:v>R13</x:v>
      </x:c>
      <x:c r="B17" s="100" t="str">
        <x:v>外部链接失效或内容变化</x:v>
      </x:c>
      <x:c r="C17" s="100" t="n">
        <x:v>3</x:v>
      </x:c>
      <x:c r="D17" s="100" t="n">
        <x:v>3</x:v>
      </x:c>
      <x:c r="E17" s="100" t="n">
        <x:f>C17*D17</x:f>
        <x:v>9</x:v>
      </x:c>
      <x:c r="F17" s="100" t="str">
        <x:v>关键主张只有URL无卷次版本</x:v>
      </x:c>
      <x:c r="G17" s="100" t="str">
        <x:v>保存稳定标识、访问日期、卷页和允许范围内哈希</x:v>
      </x:c>
      <x:c r="H17" s="104" t="str">
        <x:v>AI</x:v>
      </x:c>
      <x:c r="I17" s="104" t="str">
        <x:v>开放</x:v>
      </x:c>
      <x:c r="J17" s="106" t="str"/>
    </x:row>
    <x:row r="18" ht="40" customHeight="1">
      <x:c r="A18" s="100" t="str">
        <x:v>R14</x:v>
      </x:c>
      <x:c r="B18" s="100" t="str">
        <x:v>二手故事污染事实层</x:v>
      </x:c>
      <x:c r="C18" s="100" t="n">
        <x:v>3</x:v>
      </x:c>
      <x:c r="D18" s="100" t="n">
        <x:v>4</x:v>
      </x:c>
      <x:c r="E18" s="100" t="n">
        <x:f>C18*D18</x:f>
        <x:v>12</x:v>
      </x:c>
      <x:c r="F18" s="100" t="str">
        <x:v>百科自媒体说法无来源直接入库</x:v>
      </x:c>
      <x:c r="G18" s="100" t="str">
        <x:v>只作线索；重要结论必须回查</x:v>
      </x:c>
      <x:c r="H18" s="104" t="str">
        <x:v>AI</x:v>
      </x:c>
      <x:c r="I18" s="104" t="str">
        <x:v>开放</x:v>
      </x:c>
      <x:c r="J18" s="106" t="str"/>
    </x:row>
    <x:row r="19" ht="40" customHeight="1">
      <x:c r="A19" s="100" t="str">
        <x:v>R15</x:v>
      </x:c>
      <x:c r="B19" s="100" t="str">
        <x:v>在世后裔隐私泄露</x:v>
      </x:c>
      <x:c r="C19" s="100" t="n">
        <x:v>2</x:v>
      </x:c>
      <x:c r="D19" s="100" t="n">
        <x:v>5</x:v>
      </x:c>
      <x:c r="E19" s="100" t="n">
        <x:f>C19*D19</x:f>
        <x:v>10</x:v>
      </x:c>
      <x:c r="F19" s="100" t="str">
        <x:v>采集现代住址证件或敏感亲属</x:v>
      </x:c>
      <x:c r="G19" s="100" t="str">
        <x:v>当前排除在世者敏感资料；必要时隐私审查</x:v>
      </x:c>
      <x:c r="H19" s="104" t="str">
        <x:v>用户、AI</x:v>
      </x:c>
      <x:c r="I19" s="104" t="str">
        <x:v>开放</x:v>
      </x:c>
      <x:c r="J19" s="106" t="str"/>
    </x:row>
    <x:row r="20" ht="40" customHeight="1">
      <x:c r="A20" s="100" t="str">
        <x:v>R16</x:v>
      </x:c>
      <x:c r="B20" s="100" t="str">
        <x:v>以字数和条目数替代质量</x:v>
      </x:c>
      <x:c r="C20" s="100" t="n">
        <x:v>5</x:v>
      </x:c>
      <x:c r="D20" s="100" t="n">
        <x:v>4</x:v>
      </x:c>
      <x:c r="E20" s="100" t="n">
        <x:f>C20*D20</x:f>
        <x:v>20</x:v>
      </x:c>
      <x:c r="F20" s="100" t="str">
        <x:v>只汇报新增字数或人物数</x:v>
      </x:c>
      <x:c r="G20" s="100" t="str">
        <x:v>北极星改为可定位且完成回查的主张</x:v>
      </x:c>
      <x:c r="H20" s="104" t="str">
        <x:v>用户、AI</x:v>
      </x:c>
      <x:c r="I20" s="104" t="str">
        <x:v>开放</x:v>
      </x:c>
      <x:c r="J20" s="106" t="str"/>
    </x:row>
    <x:row r="21" ht="40" customHeight="1">
      <x:c r="A21" s="100" t="str">
        <x:v>R17</x:v>
      </x:c>
      <x:c r="B21" s="100" t="str">
        <x:v>零人工抽查导致错误累积</x:v>
      </x:c>
      <x:c r="C21" s="100" t="n">
        <x:v>4</x:v>
      </x:c>
      <x:c r="D21" s="100" t="n">
        <x:v>5</x:v>
      </x:c>
      <x:c r="E21" s="100" t="n">
        <x:f>C21*D21</x:f>
        <x:v>20</x:v>
      </x:c>
      <x:c r="F21" s="100" t="str">
        <x:v>候选队列增长但用户从不打开来源</x:v>
      </x:c>
      <x:c r="G21" s="100" t="str">
        <x:v>始终标AI研究草稿；每批建议抽查5条主张和2条关系</x:v>
      </x:c>
      <x:c r="H21" s="104" t="str">
        <x:v>用户</x:v>
      </x:c>
      <x:c r="I21" s="104" t="str">
        <x:v>开放</x:v>
      </x:c>
      <x:c r="J21" s="106" t="str"/>
    </x:row>
    <x:row r="22" ht="40" customHeight="1">
      <x:c r="A22" s="100" t="str">
        <x:v>R18</x:v>
      </x:c>
      <x:c r="B22" s="100" t="str">
        <x:v>许可改变后无法撤下派生物</x:v>
      </x:c>
      <x:c r="C22" s="100" t="n">
        <x:v>2</x:v>
      </x:c>
      <x:c r="D22" s="100" t="n">
        <x:v>5</x:v>
      </x:c>
      <x:c r="E22" s="100" t="n">
        <x:f>C22*D22</x:f>
        <x:v>10</x:v>
      </x:c>
      <x:c r="F22" s="100" t="str">
        <x:v>数字资产与页面无依赖关系</x:v>
      </x:c>
      <x:c r="G22" s="100" t="str">
        <x:v>资产、许可、主张和叙事建立可追踪引用</x:v>
      </x:c>
      <x:c r="H22" s="104" t="str">
        <x:v>AI</x:v>
      </x:c>
      <x:c r="I22" s="104" t="str">
        <x:v>开放</x:v>
      </x:c>
      <x:c r="J22" s="106" t="str"/>
    </x:row>
  </x:sheetData>
  <x:mergeCells>
    <x:mergeCell ref="A1:J1"/>
    <x:mergeCell ref="A2:J2"/>
  </x:mergeCells>
  <x:conditionalFormatting sqref="E5:E22">
    <x:cfRule type="cellIs" dxfId="65" priority="1" operator="greaterThanOrEqual">
      <x:formula>15</x:formula>
    </x:cfRule>
    <x:cfRule type="cellIs" dxfId="66" priority="2" operator="between">
      <x:formula>8</x:formula>
      <x:formula>14</x:formula>
    </x:cfRule>
    <x:cfRule type="cellIs" dxfId="67" priority="3" operator="lessThanOrEqual">
      <x:formula>7</x:formula>
    </x:cfRule>
  </x:conditionalFormatting>
  <x:conditionalFormatting sqref="I5:I22">
    <x:cfRule type="containsText" dxfId="68" priority="4" operator="containsText" text="已完成"/>
    <x:cfRule type="containsText" dxfId="69" priority="5" operator="containsText" text="已通过"/>
    <x:cfRule type="containsText" dxfId="70" priority="6" operator="containsText" text="进行中"/>
    <x:cfRule type="containsText" dxfId="71" priority="7" operator="containsText" text="待审核"/>
    <x:cfRule type="containsText" dxfId="72" priority="8" operator="containsText" text="阻塞"/>
  </x:conditionalFormatting>
  <x:dataValidations count="2">
    <x:dataValidation type="whole" operator="between" sqref="C5:D22">
      <x:formula1>1</x:formula1>
      <x:formula2>5</x:formula2>
    </x:dataValidation>
    <x:dataValidation type="list" sqref="I5:I22">
      <x:formula1>"开放,缓解中,已接受,已升级,已关闭"</x:formula1>
    </x:dataValidation>
  </x:dataValidations>
  <x:pageMargins left="0.7" right="0.7" top="0.75" bottom="0.75" header="0.3" footer="0.3"/>
  <x:tableParts count="1">
    <x:tablePart xmlns:r="http://schemas.openxmlformats.org/officeDocument/2006/relationships" r:id="Ra26340f5ddc5409b"/>
  </x:tableParts>
</x:worksheet>
</file>

<file path=xl/worksheets/sheet1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30" hidden="0" customWidth="1"/>
    <x:col min="4" max="4" width="28" hidden="0" customWidth="1"/>
    <x:col min="5" max="5" width="30" hidden="0" customWidth="1"/>
    <x:col min="6" max="6" width="58" hidden="0" customWidth="1"/>
    <x:col min="7" max="7" width="24" hidden="0" customWidth="1"/>
    <x:col min="8" max="8" width="30" hidden="0" customWidth="1"/>
    <x:col min="9" max="9" width="12" hidden="0" customWidth="1"/>
    <x:col min="10" max="10" width="10" hidden="0" customWidth="1"/>
  </x:cols>
  <x:sheetData>
    <x:row r="1" ht="34" customHeight="1">
      <x:c r="A1" s="3" t="str">
        <x:v>Phase 0 受控词表</x:v>
      </x:c>
    </x:row>
    <x:row r="2" ht="24" customHeight="1">
      <x:c r="A2" s="6" t="str">
        <x:v>稳定系统状态用固定枚举；历史概念、关系、称号与证据性质用可版本化词表。新增同义词前先检查是否已有概念。</x:v>
      </x:c>
    </x:row>
    <x:row r="4" ht="32" customHeight="1">
      <x:c r="A4" s="92" t="str">
        <x:v>scheme_code</x:v>
      </x:c>
      <x:c r="B4" s="93" t="str">
        <x:v>scheme_label</x:v>
      </x:c>
      <x:c r="C4" s="93" t="str">
        <x:v>term_code</x:v>
      </x:c>
      <x:c r="D4" s="93" t="str">
        <x:v>中文标签</x:v>
      </x:c>
      <x:c r="E4" s="93" t="str">
        <x:v>英文标签</x:v>
      </x:c>
      <x:c r="F4" s="93" t="str">
        <x:v>定义</x:v>
      </x:c>
      <x:c r="G4" s="93" t="str">
        <x:v>上位词</x:v>
      </x:c>
      <x:c r="H4" s="93" t="str">
        <x:v>逆关系</x:v>
      </x:c>
      <x:c r="I4" s="93" t="str">
        <x:v>是否启用</x:v>
      </x:c>
      <x:c r="J4" s="94" t="str">
        <x:v>排序</x:v>
      </x:c>
    </x:row>
    <x:row r="5" ht="32" customHeight="1">
      <x:c r="A5" s="99" t="str">
        <x:v>name_type</x:v>
      </x:c>
      <x:c r="B5" s="99" t="str">
        <x:v>名称类型</x:v>
      </x:c>
      <x:c r="C5" s="99" t="str">
        <x:v>birth_name</x:v>
      </x:c>
      <x:c r="D5" s="99" t="str">
        <x:v>本名</x:v>
      </x:c>
      <x:c r="E5" s="99" t="str">
        <x:v>Birth name</x:v>
      </x:c>
      <x:c r="F5" s="99" t="str">
        <x:v>出生或早年正式使用的名字</x:v>
      </x:c>
      <x:c r="G5" s="99" t="str"/>
      <x:c r="H5" s="99" t="str"/>
      <x:c r="I5" s="99" t="str">
        <x:v>true</x:v>
      </x:c>
      <x:c r="J5" s="99" t="str">
        <x:v>10</x:v>
      </x:c>
    </x:row>
    <x:row r="6" ht="32" customHeight="1">
      <x:c r="A6" s="100" t="str">
        <x:v>name_type</x:v>
      </x:c>
      <x:c r="B6" s="100" t="str">
        <x:v>名称类型</x:v>
      </x:c>
      <x:c r="C6" s="100" t="str">
        <x:v>childhood_name</x:v>
      </x:c>
      <x:c r="D6" s="100" t="str">
        <x:v>幼名</x:v>
      </x:c>
      <x:c r="E6" s="100" t="str">
        <x:v>Childhood name</x:v>
      </x:c>
      <x:c r="F6" s="100" t="str">
        <x:v>幼年使用的称呼或名字</x:v>
      </x:c>
      <x:c r="G6" s="100" t="str"/>
      <x:c r="H6" s="100" t="str"/>
      <x:c r="I6" s="100" t="str">
        <x:v>true</x:v>
      </x:c>
      <x:c r="J6" s="100" t="str">
        <x:v>20</x:v>
      </x:c>
    </x:row>
    <x:row r="7" ht="32" customHeight="1">
      <x:c r="A7" s="100" t="str">
        <x:v>name_type</x:v>
      </x:c>
      <x:c r="B7" s="100" t="str">
        <x:v>名称类型</x:v>
      </x:c>
      <x:c r="C7" s="100" t="str">
        <x:v>taboo_form</x:v>
      </x:c>
      <x:c r="D7" s="100" t="str">
        <x:v>避讳前写法</x:v>
      </x:c>
      <x:c r="E7" s="100" t="str">
        <x:v>Pre-taboo form</x:v>
      </x:c>
      <x:c r="F7" s="100" t="str">
        <x:v>因避讳而改变前的历史写法</x:v>
      </x:c>
      <x:c r="G7" s="100" t="str"/>
      <x:c r="H7" s="100" t="str"/>
      <x:c r="I7" s="100" t="str">
        <x:v>true</x:v>
      </x:c>
      <x:c r="J7" s="100" t="str">
        <x:v>30</x:v>
      </x:c>
    </x:row>
    <x:row r="8" ht="32" customHeight="1">
      <x:c r="A8" s="100" t="str">
        <x:v>name_type</x:v>
      </x:c>
      <x:c r="B8" s="100" t="str">
        <x:v>名称类型</x:v>
      </x:c>
      <x:c r="C8" s="100" t="str">
        <x:v>post_taboo_form</x:v>
      </x:c>
      <x:c r="D8" s="100" t="str">
        <x:v>避讳后写法</x:v>
      </x:c>
      <x:c r="E8" s="100" t="str">
        <x:v>Post-taboo form</x:v>
      </x:c>
      <x:c r="F8" s="100" t="str">
        <x:v>避讳后形成的写法</x:v>
      </x:c>
      <x:c r="G8" s="100" t="str"/>
      <x:c r="H8" s="100" t="str"/>
      <x:c r="I8" s="100" t="str">
        <x:v>true</x:v>
      </x:c>
      <x:c r="J8" s="100" t="str">
        <x:v>40</x:v>
      </x:c>
    </x:row>
    <x:row r="9" ht="32" customHeight="1">
      <x:c r="A9" s="100" t="str">
        <x:v>name_type</x:v>
      </x:c>
      <x:c r="B9" s="100" t="str">
        <x:v>名称类型</x:v>
      </x:c>
      <x:c r="C9" s="100" t="str">
        <x:v>temple_name</x:v>
      </x:c>
      <x:c r="D9" s="100" t="str">
        <x:v>庙号</x:v>
      </x:c>
      <x:c r="E9" s="100" t="str">
        <x:v>Temple name</x:v>
      </x:c>
      <x:c r="F9" s="100" t="str">
        <x:v>皇帝或皇后入庙后的庙号</x:v>
      </x:c>
      <x:c r="G9" s="100" t="str"/>
      <x:c r="H9" s="100" t="str"/>
      <x:c r="I9" s="100" t="str">
        <x:v>true</x:v>
      </x:c>
      <x:c r="J9" s="100" t="str">
        <x:v>50</x:v>
      </x:c>
    </x:row>
    <x:row r="10" ht="32" customHeight="1">
      <x:c r="A10" s="100" t="str">
        <x:v>name_type</x:v>
      </x:c>
      <x:c r="B10" s="100" t="str">
        <x:v>名称类型</x:v>
      </x:c>
      <x:c r="C10" s="100" t="str">
        <x:v>posthumous_name</x:v>
      </x:c>
      <x:c r="D10" s="100" t="str">
        <x:v>谥号</x:v>
      </x:c>
      <x:c r="E10" s="100" t="str">
        <x:v>Posthumous name</x:v>
      </x:c>
      <x:c r="F10" s="100" t="str">
        <x:v>死后追加的谥号</x:v>
      </x:c>
      <x:c r="G10" s="100" t="str"/>
      <x:c r="H10" s="100" t="str"/>
      <x:c r="I10" s="100" t="str">
        <x:v>true</x:v>
      </x:c>
      <x:c r="J10" s="100" t="str">
        <x:v>60</x:v>
      </x:c>
    </x:row>
    <x:row r="11" ht="32" customHeight="1">
      <x:c r="A11" s="100" t="str">
        <x:v>name_type</x:v>
      </x:c>
      <x:c r="B11" s="100" t="str">
        <x:v>名称类型</x:v>
      </x:c>
      <x:c r="C11" s="100" t="str">
        <x:v>honorific</x:v>
      </x:c>
      <x:c r="D11" s="100" t="str">
        <x:v>尊号</x:v>
      </x:c>
      <x:c r="E11" s="100" t="str">
        <x:v>Honorific</x:v>
      </x:c>
      <x:c r="F11" s="100" t="str">
        <x:v>生前或身后加上的尊号</x:v>
      </x:c>
      <x:c r="G11" s="100" t="str"/>
      <x:c r="H11" s="100" t="str"/>
      <x:c r="I11" s="100" t="str">
        <x:v>true</x:v>
      </x:c>
      <x:c r="J11" s="100" t="str">
        <x:v>70</x:v>
      </x:c>
    </x:row>
    <x:row r="12" ht="32" customHeight="1">
      <x:c r="A12" s="100" t="str">
        <x:v>name_type</x:v>
      </x:c>
      <x:c r="B12" s="100" t="str">
        <x:v>名称类型</x:v>
      </x:c>
      <x:c r="C12" s="100" t="str">
        <x:v>title_name</x:v>
      </x:c>
      <x:c r="D12" s="100" t="str">
        <x:v>位号或爵号式称呼</x:v>
      </x:c>
      <x:c r="E12" s="100" t="str">
        <x:v>Title-style name</x:v>
      </x:c>
      <x:c r="F12" s="100" t="str">
        <x:v>由妃嫔位号爵位或身份构成的称呼</x:v>
      </x:c>
      <x:c r="G12" s="100" t="str"/>
      <x:c r="H12" s="100" t="str"/>
      <x:c r="I12" s="100" t="str">
        <x:v>true</x:v>
      </x:c>
      <x:c r="J12" s="100" t="str">
        <x:v>80</x:v>
      </x:c>
    </x:row>
    <x:row r="13" ht="32" customHeight="1">
      <x:c r="A13" s="100" t="str">
        <x:v>name_type</x:v>
      </x:c>
      <x:c r="B13" s="100" t="str">
        <x:v>名称类型</x:v>
      </x:c>
      <x:c r="C13" s="100" t="str">
        <x:v>common_name</x:v>
      </x:c>
      <x:c r="D13" s="100" t="str">
        <x:v>现代通称</x:v>
      </x:c>
      <x:c r="E13" s="100" t="str">
        <x:v>Common name</x:v>
      </x:c>
      <x:c r="F13" s="100" t="str">
        <x:v>现代读者常用但未必是同时代正式名称的称呼</x:v>
      </x:c>
      <x:c r="G13" s="100" t="str"/>
      <x:c r="H13" s="100" t="str"/>
      <x:c r="I13" s="100" t="str">
        <x:v>true</x:v>
      </x:c>
      <x:c r="J13" s="100" t="str">
        <x:v>90</x:v>
      </x:c>
    </x:row>
    <x:row r="14" ht="32" customHeight="1">
      <x:c r="A14" s="100" t="str">
        <x:v>name_type</x:v>
      </x:c>
      <x:c r="B14" s="100" t="str">
        <x:v>名称类型</x:v>
      </x:c>
      <x:c r="C14" s="100" t="str">
        <x:v>manchu_name</x:v>
      </x:c>
      <x:c r="D14" s="100" t="str">
        <x:v>满文名</x:v>
      </x:c>
      <x:c r="E14" s="100" t="str">
        <x:v>Manchu name</x:v>
      </x:c>
      <x:c r="F14" s="100" t="str">
        <x:v>满文原名或满文形式</x:v>
      </x:c>
      <x:c r="G14" s="100" t="str"/>
      <x:c r="H14" s="100" t="str"/>
      <x:c r="I14" s="100" t="str">
        <x:v>true</x:v>
      </x:c>
      <x:c r="J14" s="100" t="str">
        <x:v>100</x:v>
      </x:c>
    </x:row>
    <x:row r="15" ht="32" customHeight="1">
      <x:c r="A15" s="100" t="str">
        <x:v>name_type</x:v>
      </x:c>
      <x:c r="B15" s="100" t="str">
        <x:v>名称类型</x:v>
      </x:c>
      <x:c r="C15" s="100" t="str">
        <x:v>transliteration</x:v>
      </x:c>
      <x:c r="D15" s="100" t="str">
        <x:v>转写</x:v>
      </x:c>
      <x:c r="E15" s="100" t="str">
        <x:v>Transliteration</x:v>
      </x:c>
      <x:c r="F15" s="100" t="str">
        <x:v>按明确方案形成的罗马字或汉字转写</x:v>
      </x:c>
      <x:c r="G15" s="100" t="str"/>
      <x:c r="H15" s="100" t="str"/>
      <x:c r="I15" s="100" t="str">
        <x:v>true</x:v>
      </x:c>
      <x:c r="J15" s="100" t="str">
        <x:v>110</x:v>
      </x:c>
    </x:row>
    <x:row r="16" ht="32" customHeight="1">
      <x:c r="A16" s="100" t="str">
        <x:v>name_type</x:v>
      </x:c>
      <x:c r="B16" s="100" t="str">
        <x:v>名称类型</x:v>
      </x:c>
      <x:c r="C16" s="100" t="str">
        <x:v>variant_graph</x:v>
      </x:c>
      <x:c r="D16" s="100" t="str">
        <x:v>异体字</x:v>
      </x:c>
      <x:c r="E16" s="100" t="str">
        <x:v>Graphic variant</x:v>
      </x:c>
      <x:c r="F16" s="100" t="str">
        <x:v>同一名称的异体或俗体字写法</x:v>
      </x:c>
      <x:c r="G16" s="100" t="str"/>
      <x:c r="H16" s="100" t="str"/>
      <x:c r="I16" s="100" t="str">
        <x:v>true</x:v>
      </x:c>
      <x:c r="J16" s="100" t="str">
        <x:v>120</x:v>
      </x:c>
    </x:row>
    <x:row r="17" ht="32" customHeight="1">
      <x:c r="A17" s="100" t="str">
        <x:v>relationship_type</x:v>
      </x:c>
      <x:c r="B17" s="100" t="str">
        <x:v>关系类型</x:v>
      </x:c>
      <x:c r="C17" s="100" t="str">
        <x:v>has_biological_father</x:v>
      </x:c>
      <x:c r="D17" s="100" t="str">
        <x:v>生父为</x:v>
      </x:c>
      <x:c r="E17" s="100" t="str">
        <x:v>Has biological father</x:v>
      </x:c>
      <x:c r="F17" s="100" t="str">
        <x:v>主体的生物学父亲是客体</x:v>
      </x:c>
      <x:c r="G17" s="100" t="str">
        <x:v>kinship</x:v>
      </x:c>
      <x:c r="H17" s="100" t="str">
        <x:v>biological_father_of</x:v>
      </x:c>
      <x:c r="I17" s="100" t="str">
        <x:v>true</x:v>
      </x:c>
      <x:c r="J17" s="100" t="str">
        <x:v>10</x:v>
      </x:c>
    </x:row>
    <x:row r="18" ht="32" customHeight="1">
      <x:c r="A18" s="100" t="str">
        <x:v>relationship_type</x:v>
      </x:c>
      <x:c r="B18" s="100" t="str">
        <x:v>关系类型</x:v>
      </x:c>
      <x:c r="C18" s="100" t="str">
        <x:v>biological_father_of</x:v>
      </x:c>
      <x:c r="D18" s="100" t="str">
        <x:v>为生父</x:v>
      </x:c>
      <x:c r="E18" s="100" t="str">
        <x:v>Biological father of</x:v>
      </x:c>
      <x:c r="F18" s="100" t="str">
        <x:v>主体是客体的生物学父亲</x:v>
      </x:c>
      <x:c r="G18" s="100" t="str">
        <x:v>kinship</x:v>
      </x:c>
      <x:c r="H18" s="100" t="str">
        <x:v>has_biological_father</x:v>
      </x:c>
      <x:c r="I18" s="100" t="str">
        <x:v>true</x:v>
      </x:c>
      <x:c r="J18" s="100" t="str">
        <x:v>20</x:v>
      </x:c>
    </x:row>
    <x:row r="19" ht="32" customHeight="1">
      <x:c r="A19" s="100" t="str">
        <x:v>relationship_type</x:v>
      </x:c>
      <x:c r="B19" s="100" t="str">
        <x:v>关系类型</x:v>
      </x:c>
      <x:c r="C19" s="100" t="str">
        <x:v>has_biological_mother</x:v>
      </x:c>
      <x:c r="D19" s="100" t="str">
        <x:v>生母为</x:v>
      </x:c>
      <x:c r="E19" s="100" t="str">
        <x:v>Has biological mother</x:v>
      </x:c>
      <x:c r="F19" s="100" t="str">
        <x:v>主体的生物学母亲是客体</x:v>
      </x:c>
      <x:c r="G19" s="100" t="str">
        <x:v>kinship</x:v>
      </x:c>
      <x:c r="H19" s="100" t="str">
        <x:v>biological_mother_of</x:v>
      </x:c>
      <x:c r="I19" s="100" t="str">
        <x:v>true</x:v>
      </x:c>
      <x:c r="J19" s="100" t="str">
        <x:v>30</x:v>
      </x:c>
    </x:row>
    <x:row r="20" ht="32" customHeight="1">
      <x:c r="A20" s="100" t="str">
        <x:v>relationship_type</x:v>
      </x:c>
      <x:c r="B20" s="100" t="str">
        <x:v>关系类型</x:v>
      </x:c>
      <x:c r="C20" s="100" t="str">
        <x:v>biological_mother_of</x:v>
      </x:c>
      <x:c r="D20" s="100" t="str">
        <x:v>为生母</x:v>
      </x:c>
      <x:c r="E20" s="100" t="str">
        <x:v>Biological mother of</x:v>
      </x:c>
      <x:c r="F20" s="100" t="str">
        <x:v>主体是客体的生物学母亲</x:v>
      </x:c>
      <x:c r="G20" s="100" t="str">
        <x:v>kinship</x:v>
      </x:c>
      <x:c r="H20" s="100" t="str">
        <x:v>has_biological_mother</x:v>
      </x:c>
      <x:c r="I20" s="100" t="str">
        <x:v>true</x:v>
      </x:c>
      <x:c r="J20" s="100" t="str">
        <x:v>40</x:v>
      </x:c>
    </x:row>
    <x:row r="21" ht="32" customHeight="1">
      <x:c r="A21" s="100" t="str">
        <x:v>relationship_type</x:v>
      </x:c>
      <x:c r="B21" s="100" t="str">
        <x:v>关系类型</x:v>
      </x:c>
      <x:c r="C21" s="100" t="str">
        <x:v>has_legal_father</x:v>
      </x:c>
      <x:c r="D21" s="100" t="str">
        <x:v>法定父为</x:v>
      </x:c>
      <x:c r="E21" s="100" t="str">
        <x:v>Has legal father</x:v>
      </x:c>
      <x:c r="F21" s="100" t="str">
        <x:v>礼法或法律身份上的父亲是客体</x:v>
      </x:c>
      <x:c r="G21" s="100" t="str">
        <x:v>kinship</x:v>
      </x:c>
      <x:c r="H21" s="100" t="str">
        <x:v>legal_father_of</x:v>
      </x:c>
      <x:c r="I21" s="100" t="str">
        <x:v>true</x:v>
      </x:c>
      <x:c r="J21" s="100" t="str">
        <x:v>50</x:v>
      </x:c>
    </x:row>
    <x:row r="22" ht="32" customHeight="1">
      <x:c r="A22" s="100" t="str">
        <x:v>relationship_type</x:v>
      </x:c>
      <x:c r="B22" s="100" t="str">
        <x:v>关系类型</x:v>
      </x:c>
      <x:c r="C22" s="100" t="str">
        <x:v>legal_father_of</x:v>
      </x:c>
      <x:c r="D22" s="100" t="str">
        <x:v>为法定父</x:v>
      </x:c>
      <x:c r="E22" s="100" t="str">
        <x:v>Legal father of</x:v>
      </x:c>
      <x:c r="F22" s="100" t="str">
        <x:v>主体是客体礼法或法律身份上的父亲</x:v>
      </x:c>
      <x:c r="G22" s="100" t="str">
        <x:v>kinship</x:v>
      </x:c>
      <x:c r="H22" s="100" t="str">
        <x:v>has_legal_father</x:v>
      </x:c>
      <x:c r="I22" s="100" t="str">
        <x:v>true</x:v>
      </x:c>
      <x:c r="J22" s="100" t="str">
        <x:v>60</x:v>
      </x:c>
    </x:row>
    <x:row r="23" ht="32" customHeight="1">
      <x:c r="A23" s="100" t="str">
        <x:v>relationship_type</x:v>
      </x:c>
      <x:c r="B23" s="100" t="str">
        <x:v>关系类型</x:v>
      </x:c>
      <x:c r="C23" s="100" t="str">
        <x:v>has_legal_mother</x:v>
      </x:c>
      <x:c r="D23" s="100" t="str">
        <x:v>嫡母或法定母为</x:v>
      </x:c>
      <x:c r="E23" s="100" t="str">
        <x:v>Has legal mother</x:v>
      </x:c>
      <x:c r="F23" s="100" t="str">
        <x:v>礼法或法律身份上的母亲是客体</x:v>
      </x:c>
      <x:c r="G23" s="100" t="str">
        <x:v>kinship</x:v>
      </x:c>
      <x:c r="H23" s="100" t="str">
        <x:v>legal_mother_of</x:v>
      </x:c>
      <x:c r="I23" s="100" t="str">
        <x:v>true</x:v>
      </x:c>
      <x:c r="J23" s="100" t="str">
        <x:v>70</x:v>
      </x:c>
    </x:row>
    <x:row r="24" ht="32" customHeight="1">
      <x:c r="A24" s="100" t="str">
        <x:v>relationship_type</x:v>
      </x:c>
      <x:c r="B24" s="100" t="str">
        <x:v>关系类型</x:v>
      </x:c>
      <x:c r="C24" s="100" t="str">
        <x:v>legal_mother_of</x:v>
      </x:c>
      <x:c r="D24" s="100" t="str">
        <x:v>为嫡母或法定母</x:v>
      </x:c>
      <x:c r="E24" s="100" t="str">
        <x:v>Legal mother of</x:v>
      </x:c>
      <x:c r="F24" s="100" t="str">
        <x:v>主体是客体礼法或法律身份上的母亲</x:v>
      </x:c>
      <x:c r="G24" s="100" t="str">
        <x:v>kinship</x:v>
      </x:c>
      <x:c r="H24" s="100" t="str">
        <x:v>has_legal_mother</x:v>
      </x:c>
      <x:c r="I24" s="100" t="str">
        <x:v>true</x:v>
      </x:c>
      <x:c r="J24" s="100" t="str">
        <x:v>80</x:v>
      </x:c>
    </x:row>
    <x:row r="25" ht="32" customHeight="1">
      <x:c r="A25" s="100" t="str">
        <x:v>relationship_type</x:v>
      </x:c>
      <x:c r="B25" s="100" t="str">
        <x:v>关系类型</x:v>
      </x:c>
      <x:c r="C25" s="100" t="str">
        <x:v>has_ritual_mother</x:v>
      </x:c>
      <x:c r="D25" s="100" t="str">
        <x:v>礼仪母为</x:v>
      </x:c>
      <x:c r="E25" s="100" t="str">
        <x:v>Has ritual mother</x:v>
      </x:c>
      <x:c r="F25" s="100" t="str">
        <x:v>在特定礼仪或制度语境中被视作母亲</x:v>
      </x:c>
      <x:c r="G25" s="100" t="str">
        <x:v>kinship</x:v>
      </x:c>
      <x:c r="H25" s="100" t="str">
        <x:v>ritual_mother_of</x:v>
      </x:c>
      <x:c r="I25" s="100" t="str">
        <x:v>true</x:v>
      </x:c>
      <x:c r="J25" s="100" t="str">
        <x:v>90</x:v>
      </x:c>
    </x:row>
    <x:row r="26" ht="32" customHeight="1">
      <x:c r="A26" s="100" t="str">
        <x:v>relationship_type</x:v>
      </x:c>
      <x:c r="B26" s="100" t="str">
        <x:v>关系类型</x:v>
      </x:c>
      <x:c r="C26" s="100" t="str">
        <x:v>ritual_mother_of</x:v>
      </x:c>
      <x:c r="D26" s="100" t="str">
        <x:v>为礼仪母</x:v>
      </x:c>
      <x:c r="E26" s="100" t="str">
        <x:v>Ritual mother of</x:v>
      </x:c>
      <x:c r="F26" s="100" t="str">
        <x:v>主体在特定礼仪或制度语境中为客体之母</x:v>
      </x:c>
      <x:c r="G26" s="100" t="str">
        <x:v>kinship</x:v>
      </x:c>
      <x:c r="H26" s="100" t="str">
        <x:v>has_ritual_mother</x:v>
      </x:c>
      <x:c r="I26" s="100" t="str">
        <x:v>true</x:v>
      </x:c>
      <x:c r="J26" s="100" t="str">
        <x:v>100</x:v>
      </x:c>
    </x:row>
    <x:row r="27" ht="32" customHeight="1">
      <x:c r="A27" s="100" t="str">
        <x:v>relationship_type</x:v>
      </x:c>
      <x:c r="B27" s="100" t="str">
        <x:v>关系类型</x:v>
      </x:c>
      <x:c r="C27" s="100" t="str">
        <x:v>has_adoptive_parent</x:v>
      </x:c>
      <x:c r="D27" s="100" t="str">
        <x:v>养父母为</x:v>
      </x:c>
      <x:c r="E27" s="100" t="str">
        <x:v>Has adoptive parent</x:v>
      </x:c>
      <x:c r="F27" s="100" t="str">
        <x:v>通过正式收养或过继形成的父母关系</x:v>
      </x:c>
      <x:c r="G27" s="100" t="str">
        <x:v>kinship</x:v>
      </x:c>
      <x:c r="H27" s="100" t="str">
        <x:v>adoptive_parent_of</x:v>
      </x:c>
      <x:c r="I27" s="100" t="str">
        <x:v>true</x:v>
      </x:c>
      <x:c r="J27" s="100" t="str">
        <x:v>110</x:v>
      </x:c>
    </x:row>
    <x:row r="28" ht="32" customHeight="1">
      <x:c r="A28" s="100" t="str">
        <x:v>relationship_type</x:v>
      </x:c>
      <x:c r="B28" s="100" t="str">
        <x:v>关系类型</x:v>
      </x:c>
      <x:c r="C28" s="100" t="str">
        <x:v>adoptive_parent_of</x:v>
      </x:c>
      <x:c r="D28" s="100" t="str">
        <x:v>为养父母</x:v>
      </x:c>
      <x:c r="E28" s="100" t="str">
        <x:v>Adoptive parent of</x:v>
      </x:c>
      <x:c r="F28" s="100" t="str">
        <x:v>主体通过正式收养或过继成为客体父母</x:v>
      </x:c>
      <x:c r="G28" s="100" t="str">
        <x:v>kinship</x:v>
      </x:c>
      <x:c r="H28" s="100" t="str">
        <x:v>has_adoptive_parent</x:v>
      </x:c>
      <x:c r="I28" s="100" t="str">
        <x:v>true</x:v>
      </x:c>
      <x:c r="J28" s="100" t="str">
        <x:v>120</x:v>
      </x:c>
    </x:row>
    <x:row r="29" ht="32" customHeight="1">
      <x:c r="A29" s="100" t="str">
        <x:v>relationship_type</x:v>
      </x:c>
      <x:c r="B29" s="100" t="str">
        <x:v>关系类型</x:v>
      </x:c>
      <x:c r="C29" s="100" t="str">
        <x:v>has_foster_parent</x:v>
      </x:c>
      <x:c r="D29" s="100" t="str">
        <x:v>抚育者为</x:v>
      </x:c>
      <x:c r="E29" s="100" t="str">
        <x:v>Has foster parent</x:v>
      </x:c>
      <x:c r="F29" s="100" t="str">
        <x:v>以抚育事实形成但不等于正式收养的关系</x:v>
      </x:c>
      <x:c r="G29" s="100" t="str">
        <x:v>kinship</x:v>
      </x:c>
      <x:c r="H29" s="100" t="str">
        <x:v>foster_parent_of</x:v>
      </x:c>
      <x:c r="I29" s="100" t="str">
        <x:v>true</x:v>
      </x:c>
      <x:c r="J29" s="100" t="str">
        <x:v>130</x:v>
      </x:c>
    </x:row>
    <x:row r="30" ht="32" customHeight="1">
      <x:c r="A30" s="100" t="str">
        <x:v>relationship_type</x:v>
      </x:c>
      <x:c r="B30" s="100" t="str">
        <x:v>关系类型</x:v>
      </x:c>
      <x:c r="C30" s="100" t="str">
        <x:v>foster_parent_of</x:v>
      </x:c>
      <x:c r="D30" s="100" t="str">
        <x:v>为抚育者</x:v>
      </x:c>
      <x:c r="E30" s="100" t="str">
        <x:v>Foster parent of</x:v>
      </x:c>
      <x:c r="F30" s="100" t="str">
        <x:v>主体承担客体抚育职责但不必然具有法定亲子关系</x:v>
      </x:c>
      <x:c r="G30" s="100" t="str">
        <x:v>kinship</x:v>
      </x:c>
      <x:c r="H30" s="100" t="str">
        <x:v>has_foster_parent</x:v>
      </x:c>
      <x:c r="I30" s="100" t="str">
        <x:v>true</x:v>
      </x:c>
      <x:c r="J30" s="100" t="str">
        <x:v>140</x:v>
      </x:c>
    </x:row>
    <x:row r="31" ht="32" customHeight="1">
      <x:c r="A31" s="100" t="str">
        <x:v>relationship_type</x:v>
      </x:c>
      <x:c r="B31" s="100" t="str">
        <x:v>关系类型</x:v>
      </x:c>
      <x:c r="C31" s="100" t="str">
        <x:v>spouse_of</x:v>
      </x:c>
      <x:c r="D31" s="100" t="str">
        <x:v>配偶为</x:v>
      </x:c>
      <x:c r="E31" s="100" t="str">
        <x:v>Spouse of</x:v>
      </x:c>
      <x:c r="F31" s="100" t="str">
        <x:v>婚姻关系；对称关系</x:v>
      </x:c>
      <x:c r="G31" s="100" t="str">
        <x:v>kinship</x:v>
      </x:c>
      <x:c r="H31" s="100" t="str">
        <x:v>spouse_of</x:v>
      </x:c>
      <x:c r="I31" s="100" t="str">
        <x:v>true</x:v>
      </x:c>
      <x:c r="J31" s="100" t="str">
        <x:v>150</x:v>
      </x:c>
    </x:row>
    <x:row r="32" ht="32" customHeight="1">
      <x:c r="A32" s="100" t="str">
        <x:v>relationship_type</x:v>
      </x:c>
      <x:c r="B32" s="100" t="str">
        <x:v>关系类型</x:v>
      </x:c>
      <x:c r="C32" s="100" t="str">
        <x:v>betrothed_to</x:v>
      </x:c>
      <x:c r="D32" s="100" t="str">
        <x:v>订婚对象为</x:v>
      </x:c>
      <x:c r="E32" s="100" t="str">
        <x:v>Betrothed to</x:v>
      </x:c>
      <x:c r="F32" s="100" t="str">
        <x:v>存在订婚但未必最终成婚；对称关系</x:v>
      </x:c>
      <x:c r="G32" s="100" t="str">
        <x:v>kinship</x:v>
      </x:c>
      <x:c r="H32" s="100" t="str">
        <x:v>betrothed_to</x:v>
      </x:c>
      <x:c r="I32" s="100" t="str">
        <x:v>true</x:v>
      </x:c>
      <x:c r="J32" s="100" t="str">
        <x:v>160</x:v>
      </x:c>
    </x:row>
    <x:row r="33" ht="32" customHeight="1">
      <x:c r="A33" s="100" t="str">
        <x:v>relationship_type</x:v>
      </x:c>
      <x:c r="B33" s="100" t="str">
        <x:v>关系类型</x:v>
      </x:c>
      <x:c r="C33" s="100" t="str">
        <x:v>full_sibling_of</x:v>
      </x:c>
      <x:c r="D33" s="100" t="str">
        <x:v>同父同母手足为</x:v>
      </x:c>
      <x:c r="E33" s="100" t="str">
        <x:v>Full sibling of</x:v>
      </x:c>
      <x:c r="F33" s="100" t="str">
        <x:v>同父且同母的手足关系</x:v>
      </x:c>
      <x:c r="G33" s="100" t="str">
        <x:v>kinship</x:v>
      </x:c>
      <x:c r="H33" s="100" t="str">
        <x:v>full_sibling_of</x:v>
      </x:c>
      <x:c r="I33" s="100" t="str">
        <x:v>true</x:v>
      </x:c>
      <x:c r="J33" s="100" t="str">
        <x:v>170</x:v>
      </x:c>
    </x:row>
    <x:row r="34" ht="32" customHeight="1">
      <x:c r="A34" s="100" t="str">
        <x:v>relationship_type</x:v>
      </x:c>
      <x:c r="B34" s="100" t="str">
        <x:v>关系类型</x:v>
      </x:c>
      <x:c r="C34" s="100" t="str">
        <x:v>paternal_half_sibling_of</x:v>
      </x:c>
      <x:c r="D34" s="100" t="str">
        <x:v>同父异母手足为</x:v>
      </x:c>
      <x:c r="E34" s="100" t="str">
        <x:v>Paternal half-sibling of</x:v>
      </x:c>
      <x:c r="F34" s="100" t="str">
        <x:v>同父不同母的手足关系</x:v>
      </x:c>
      <x:c r="G34" s="100" t="str">
        <x:v>kinship</x:v>
      </x:c>
      <x:c r="H34" s="100" t="str">
        <x:v>paternal_half_sibling_of</x:v>
      </x:c>
      <x:c r="I34" s="100" t="str">
        <x:v>true</x:v>
      </x:c>
      <x:c r="J34" s="100" t="str">
        <x:v>180</x:v>
      </x:c>
    </x:row>
    <x:row r="35" ht="32" customHeight="1">
      <x:c r="A35" s="100" t="str">
        <x:v>relationship_type</x:v>
      </x:c>
      <x:c r="B35" s="100" t="str">
        <x:v>关系类型</x:v>
      </x:c>
      <x:c r="C35" s="100" t="str">
        <x:v>maternal_half_sibling_of</x:v>
      </x:c>
      <x:c r="D35" s="100" t="str">
        <x:v>同母异父手足为</x:v>
      </x:c>
      <x:c r="E35" s="100" t="str">
        <x:v>Maternal half-sibling of</x:v>
      </x:c>
      <x:c r="F35" s="100" t="str">
        <x:v>同母不同父的手足关系</x:v>
      </x:c>
      <x:c r="G35" s="100" t="str">
        <x:v>kinship</x:v>
      </x:c>
      <x:c r="H35" s="100" t="str">
        <x:v>maternal_half_sibling_of</x:v>
      </x:c>
      <x:c r="I35" s="100" t="str">
        <x:v>true</x:v>
      </x:c>
      <x:c r="J35" s="100" t="str">
        <x:v>190</x:v>
      </x:c>
    </x:row>
    <x:row r="36" ht="32" customHeight="1">
      <x:c r="A36" s="100" t="str">
        <x:v>relationship_type</x:v>
      </x:c>
      <x:c r="B36" s="100" t="str">
        <x:v>关系类型</x:v>
      </x:c>
      <x:c r="C36" s="100" t="str">
        <x:v>member_of_lineage</x:v>
      </x:c>
      <x:c r="D36" s="100" t="str">
        <x:v>属于宗支或家族</x:v>
      </x:c>
      <x:c r="E36" s="100" t="str">
        <x:v>Member of lineage</x:v>
      </x:c>
      <x:c r="F36" s="100" t="str">
        <x:v>主体隶属于特定宗支家族或谱系</x:v>
      </x:c>
      <x:c r="G36" s="100" t="str">
        <x:v>affiliation</x:v>
      </x:c>
      <x:c r="H36" s="100" t="str">
        <x:v>lineage_has_member</x:v>
      </x:c>
      <x:c r="I36" s="100" t="str">
        <x:v>true</x:v>
      </x:c>
      <x:c r="J36" s="100" t="str">
        <x:v>200</x:v>
      </x:c>
    </x:row>
    <x:row r="37" ht="32" customHeight="1">
      <x:c r="A37" s="100" t="str">
        <x:v>relationship_type</x:v>
      </x:c>
      <x:c r="B37" s="100" t="str">
        <x:v>关系类型</x:v>
      </x:c>
      <x:c r="C37" s="100" t="str">
        <x:v>lineage_has_member</x:v>
      </x:c>
      <x:c r="D37" s="100" t="str">
        <x:v>宗支或家族成员为</x:v>
      </x:c>
      <x:c r="E37" s="100" t="str">
        <x:v>Lineage has member</x:v>
      </x:c>
      <x:c r="F37" s="100" t="str">
        <x:v>特定宗支家族包含主体</x:v>
      </x:c>
      <x:c r="G37" s="100" t="str">
        <x:v>affiliation</x:v>
      </x:c>
      <x:c r="H37" s="100" t="str">
        <x:v>member_of_lineage</x:v>
      </x:c>
      <x:c r="I37" s="100" t="str">
        <x:v>true</x:v>
      </x:c>
      <x:c r="J37" s="100" t="str">
        <x:v>210</x:v>
      </x:c>
    </x:row>
    <x:row r="38" ht="32" customHeight="1">
      <x:c r="A38" s="100" t="str">
        <x:v>relationship_type</x:v>
      </x:c>
      <x:c r="B38" s="100" t="str">
        <x:v>关系类型</x:v>
      </x:c>
      <x:c r="C38" s="100" t="str">
        <x:v>teacher_of</x:v>
      </x:c>
      <x:c r="D38" s="100" t="str">
        <x:v>为师</x:v>
      </x:c>
      <x:c r="E38" s="100" t="str">
        <x:v>Teacher of</x:v>
      </x:c>
      <x:c r="F38" s="100" t="str">
        <x:v>主体是客体明确记载的教师</x:v>
      </x:c>
      <x:c r="G38" s="100" t="str">
        <x:v>social</x:v>
      </x:c>
      <x:c r="H38" s="100" t="str">
        <x:v>student_of</x:v>
      </x:c>
      <x:c r="I38" s="100" t="str">
        <x:v>true</x:v>
      </x:c>
      <x:c r="J38" s="100" t="str">
        <x:v>220</x:v>
      </x:c>
    </x:row>
    <x:row r="39" ht="32" customHeight="1">
      <x:c r="A39" s="100" t="str">
        <x:v>relationship_type</x:v>
      </x:c>
      <x:c r="B39" s="100" t="str">
        <x:v>关系类型</x:v>
      </x:c>
      <x:c r="C39" s="100" t="str">
        <x:v>student_of</x:v>
      </x:c>
      <x:c r="D39" s="100" t="str">
        <x:v>从师于</x:v>
      </x:c>
      <x:c r="E39" s="100" t="str">
        <x:v>Student of</x:v>
      </x:c>
      <x:c r="F39" s="100" t="str">
        <x:v>主体受教于客体</x:v>
      </x:c>
      <x:c r="G39" s="100" t="str">
        <x:v>social</x:v>
      </x:c>
      <x:c r="H39" s="100" t="str">
        <x:v>teacher_of</x:v>
      </x:c>
      <x:c r="I39" s="100" t="str">
        <x:v>true</x:v>
      </x:c>
      <x:c r="J39" s="100" t="str">
        <x:v>230</x:v>
      </x:c>
    </x:row>
    <x:row r="40" ht="32" customHeight="1">
      <x:c r="A40" s="100" t="str">
        <x:v>relationship_type</x:v>
      </x:c>
      <x:c r="B40" s="100" t="str">
        <x:v>关系类型</x:v>
      </x:c>
      <x:c r="C40" s="100" t="str">
        <x:v>political_ally_of</x:v>
      </x:c>
      <x:c r="D40" s="100" t="str">
        <x:v>政治盟友为</x:v>
      </x:c>
      <x:c r="E40" s="100" t="str">
        <x:v>Political ally of</x:v>
      </x:c>
      <x:c r="F40" s="100" t="str">
        <x:v>在明确时间与议题下形成政治合作；对称关系</x:v>
      </x:c>
      <x:c r="G40" s="100" t="str">
        <x:v>political</x:v>
      </x:c>
      <x:c r="H40" s="100" t="str">
        <x:v>political_ally_of</x:v>
      </x:c>
      <x:c r="I40" s="100" t="str">
        <x:v>true</x:v>
      </x:c>
      <x:c r="J40" s="100" t="str">
        <x:v>240</x:v>
      </x:c>
    </x:row>
    <x:row r="41" ht="32" customHeight="1">
      <x:c r="A41" s="100" t="str">
        <x:v>relationship_type</x:v>
      </x:c>
      <x:c r="B41" s="100" t="str">
        <x:v>关系类型</x:v>
      </x:c>
      <x:c r="C41" s="100" t="str">
        <x:v>political_opponent_of</x:v>
      </x:c>
      <x:c r="D41" s="100" t="str">
        <x:v>政治对手为</x:v>
      </x:c>
      <x:c r="E41" s="100" t="str">
        <x:v>Political opponent of</x:v>
      </x:c>
      <x:c r="F41" s="100" t="str">
        <x:v>在明确时间与议题下形成政治对立；对称关系</x:v>
      </x:c>
      <x:c r="G41" s="100" t="str">
        <x:v>political</x:v>
      </x:c>
      <x:c r="H41" s="100" t="str">
        <x:v>political_opponent_of</x:v>
      </x:c>
      <x:c r="I41" s="100" t="str">
        <x:v>true</x:v>
      </x:c>
      <x:c r="J41" s="100" t="str">
        <x:v>250</x:v>
      </x:c>
    </x:row>
    <x:row r="42" ht="32" customHeight="1">
      <x:c r="A42" s="100" t="str">
        <x:v>assertion_status</x:v>
      </x:c>
      <x:c r="B42" s="100" t="str">
        <x:v>主张状态</x:v>
      </x:c>
      <x:c r="C42" s="100" t="str">
        <x:v>draft</x:v>
      </x:c>
      <x:c r="D42" s="100" t="str">
        <x:v>草稿</x:v>
      </x:c>
      <x:c r="E42" s="100" t="str">
        <x:v>Draft</x:v>
      </x:c>
      <x:c r="F42" s="100" t="str">
        <x:v>尚未进入正式复核的候选主张</x:v>
      </x:c>
      <x:c r="G42" s="100" t="str"/>
      <x:c r="H42" s="100" t="str"/>
      <x:c r="I42" s="100" t="str">
        <x:v>true</x:v>
      </x:c>
      <x:c r="J42" s="100" t="str">
        <x:v>10</x:v>
      </x:c>
    </x:row>
    <x:row r="43" ht="32" customHeight="1">
      <x:c r="A43" s="100" t="str">
        <x:v>assertion_status</x:v>
      </x:c>
      <x:c r="B43" s="100" t="str">
        <x:v>主张状态</x:v>
      </x:c>
      <x:c r="C43" s="100" t="str">
        <x:v>in_review</x:v>
      </x:c>
      <x:c r="D43" s="100" t="str">
        <x:v>审核中</x:v>
      </x:c>
      <x:c r="E43" s="100" t="str">
        <x:v>In review</x:v>
      </x:c>
      <x:c r="F43" s="100" t="str">
        <x:v>已提交并正在进行来源与学术复核</x:v>
      </x:c>
      <x:c r="G43" s="100" t="str"/>
      <x:c r="H43" s="100" t="str"/>
      <x:c r="I43" s="100" t="str">
        <x:v>true</x:v>
      </x:c>
      <x:c r="J43" s="100" t="str">
        <x:v>20</x:v>
      </x:c>
    </x:row>
    <x:row r="44" ht="32" customHeight="1">
      <x:c r="A44" s="100" t="str">
        <x:v>assertion_status</x:v>
      </x:c>
      <x:c r="B44" s="100" t="str">
        <x:v>主张状态</x:v>
      </x:c>
      <x:c r="C44" s="100" t="str">
        <x:v>accepted</x:v>
      </x:c>
      <x:c r="D44" s="100" t="str">
        <x:v>已采纳</x:v>
      </x:c>
      <x:c r="E44" s="100" t="str">
        <x:v>Accepted</x:v>
      </x:c>
      <x:c r="F44" s="100" t="str">
        <x:v>通过规定审核且可进入正式展示</x:v>
      </x:c>
      <x:c r="G44" s="100" t="str"/>
      <x:c r="H44" s="100" t="str"/>
      <x:c r="I44" s="100" t="str">
        <x:v>true</x:v>
      </x:c>
      <x:c r="J44" s="100" t="str">
        <x:v>30</x:v>
      </x:c>
    </x:row>
    <x:row r="45" ht="32" customHeight="1">
      <x:c r="A45" s="100" t="str">
        <x:v>assertion_status</x:v>
      </x:c>
      <x:c r="B45" s="100" t="str">
        <x:v>主张状态</x:v>
      </x:c>
      <x:c r="C45" s="100" t="str">
        <x:v>disputed</x:v>
      </x:c>
      <x:c r="D45" s="100" t="str">
        <x:v>有争议</x:v>
      </x:c>
      <x:c r="E45" s="100" t="str">
        <x:v>Disputed</x:v>
      </x:c>
      <x:c r="F45" s="100" t="str">
        <x:v>存在未解决的相互冲突证据或解释</x:v>
      </x:c>
      <x:c r="G45" s="100" t="str"/>
      <x:c r="H45" s="100" t="str"/>
      <x:c r="I45" s="100" t="str">
        <x:v>true</x:v>
      </x:c>
      <x:c r="J45" s="100" t="str">
        <x:v>40</x:v>
      </x:c>
    </x:row>
    <x:row r="46" ht="32" customHeight="1">
      <x:c r="A46" s="100" t="str">
        <x:v>assertion_status</x:v>
      </x:c>
      <x:c r="B46" s="100" t="str">
        <x:v>主张状态</x:v>
      </x:c>
      <x:c r="C46" s="100" t="str">
        <x:v>rejected</x:v>
      </x:c>
      <x:c r="D46" s="100" t="str">
        <x:v>已驳回</x:v>
      </x:c>
      <x:c r="E46" s="100" t="str">
        <x:v>Rejected</x:v>
      </x:c>
      <x:c r="F46" s="100" t="str">
        <x:v>经审核不成立或证据不足</x:v>
      </x:c>
      <x:c r="G46" s="100" t="str"/>
      <x:c r="H46" s="100" t="str"/>
      <x:c r="I46" s="100" t="str">
        <x:v>true</x:v>
      </x:c>
      <x:c r="J46" s="100" t="str">
        <x:v>50</x:v>
      </x:c>
    </x:row>
    <x:row r="47" ht="32" customHeight="1">
      <x:c r="A47" s="100" t="str">
        <x:v>assertion_status</x:v>
      </x:c>
      <x:c r="B47" s="100" t="str">
        <x:v>主张状态</x:v>
      </x:c>
      <x:c r="C47" s="100" t="str">
        <x:v>deprecated</x:v>
      </x:c>
      <x:c r="D47" s="100" t="str">
        <x:v>已废弃</x:v>
      </x:c>
      <x:c r="E47" s="100" t="str">
        <x:v>Deprecated</x:v>
      </x:c>
      <x:c r="F47" s="100" t="str">
        <x:v>曾使用但被新版本取代或撤回</x:v>
      </x:c>
      <x:c r="G47" s="100" t="str"/>
      <x:c r="H47" s="100" t="str"/>
      <x:c r="I47" s="100" t="str">
        <x:v>true</x:v>
      </x:c>
      <x:c r="J47" s="100" t="str">
        <x:v>60</x:v>
      </x:c>
    </x:row>
    <x:row r="48" ht="32" customHeight="1">
      <x:c r="A48" s="100" t="str">
        <x:v>evidence_stance</x:v>
      </x:c>
      <x:c r="B48" s="100" t="str">
        <x:v>证据立场</x:v>
      </x:c>
      <x:c r="C48" s="100" t="str">
        <x:v>supports</x:v>
      </x:c>
      <x:c r="D48" s="100" t="str">
        <x:v>支持</x:v>
      </x:c>
      <x:c r="E48" s="100" t="str">
        <x:v>Supports</x:v>
      </x:c>
      <x:c r="F48" s="100" t="str">
        <x:v>该证据直接或间接支持主张</x:v>
      </x:c>
      <x:c r="G48" s="100" t="str"/>
      <x:c r="H48" s="100" t="str"/>
      <x:c r="I48" s="100" t="str">
        <x:v>true</x:v>
      </x:c>
      <x:c r="J48" s="100" t="str">
        <x:v>10</x:v>
      </x:c>
    </x:row>
    <x:row r="49" ht="32" customHeight="1">
      <x:c r="A49" s="100" t="str">
        <x:v>evidence_stance</x:v>
      </x:c>
      <x:c r="B49" s="100" t="str">
        <x:v>证据立场</x:v>
      </x:c>
      <x:c r="C49" s="100" t="str">
        <x:v>contradicts</x:v>
      </x:c>
      <x:c r="D49" s="100" t="str">
        <x:v>反驳</x:v>
      </x:c>
      <x:c r="E49" s="100" t="str">
        <x:v>Contradicts</x:v>
      </x:c>
      <x:c r="F49" s="100" t="str">
        <x:v>该证据与主张相冲突</x:v>
      </x:c>
      <x:c r="G49" s="100" t="str"/>
      <x:c r="H49" s="100" t="str"/>
      <x:c r="I49" s="100" t="str">
        <x:v>true</x:v>
      </x:c>
      <x:c r="J49" s="100" t="str">
        <x:v>20</x:v>
      </x:c>
    </x:row>
    <x:row r="50" ht="32" customHeight="1">
      <x:c r="A50" s="100" t="str">
        <x:v>evidence_stance</x:v>
      </x:c>
      <x:c r="B50" s="100" t="str">
        <x:v>证据立场</x:v>
      </x:c>
      <x:c r="C50" s="100" t="str">
        <x:v>contextualizes</x:v>
      </x:c>
      <x:c r="D50" s="100" t="str">
        <x:v>提供语境</x:v>
      </x:c>
      <x:c r="E50" s="100" t="str">
        <x:v>Contextualizes</x:v>
      </x:c>
      <x:c r="F50" s="100" t="str">
        <x:v>该证据帮助解释但不直接证明主张</x:v>
      </x:c>
      <x:c r="G50" s="100" t="str"/>
      <x:c r="H50" s="100" t="str"/>
      <x:c r="I50" s="100" t="str">
        <x:v>true</x:v>
      </x:c>
      <x:c r="J50" s="100" t="str">
        <x:v>30</x:v>
      </x:c>
    </x:row>
    <x:row r="51" ht="32" customHeight="1">
      <x:c r="A51" s="100" t="str">
        <x:v>evidence_stance</x:v>
      </x:c>
      <x:c r="B51" s="100" t="str">
        <x:v>证据立场</x:v>
      </x:c>
      <x:c r="C51" s="100" t="str">
        <x:v>mentions_only</x:v>
      </x:c>
      <x:c r="D51" s="100" t="str">
        <x:v>仅提及</x:v>
      </x:c>
      <x:c r="E51" s="100" t="str">
        <x:v>Mentions only</x:v>
      </x:c>
      <x:c r="F51" s="100" t="str">
        <x:v>材料只提到相关对象而不支持主张</x:v>
      </x:c>
      <x:c r="G51" s="100" t="str"/>
      <x:c r="H51" s="100" t="str"/>
      <x:c r="I51" s="100" t="str">
        <x:v>true</x:v>
      </x:c>
      <x:c r="J51" s="100" t="str">
        <x:v>40</x:v>
      </x:c>
    </x:row>
    <x:row r="52" ht="32" customHeight="1">
      <x:c r="A52" s="100" t="str">
        <x:v>evidence_directness</x:v>
      </x:c>
      <x:c r="B52" s="100" t="str">
        <x:v>证据直接性</x:v>
      </x:c>
      <x:c r="C52" s="100" t="str">
        <x:v>explicit</x:v>
      </x:c>
      <x:c r="D52" s="100" t="str">
        <x:v>明确记载</x:v>
      </x:c>
      <x:c r="E52" s="100" t="str">
        <x:v>Explicit</x:v>
      </x:c>
      <x:c r="F52" s="100" t="str">
        <x:v>来源直接陈述该事实</x:v>
      </x:c>
      <x:c r="G52" s="100" t="str"/>
      <x:c r="H52" s="100" t="str"/>
      <x:c r="I52" s="100" t="str">
        <x:v>true</x:v>
      </x:c>
      <x:c r="J52" s="100" t="str">
        <x:v>10</x:v>
      </x:c>
    </x:row>
    <x:row r="53" ht="32" customHeight="1">
      <x:c r="A53" s="100" t="str">
        <x:v>evidence_directness</x:v>
      </x:c>
      <x:c r="B53" s="100" t="str">
        <x:v>证据直接性</x:v>
      </x:c>
      <x:c r="C53" s="100" t="str">
        <x:v>inferred</x:v>
      </x:c>
      <x:c r="D53" s="100" t="str">
        <x:v>推定</x:v>
      </x:c>
      <x:c r="E53" s="100" t="str">
        <x:v>Inferred</x:v>
      </x:c>
      <x:c r="F53" s="100" t="str">
        <x:v>由来源内容推论而非直接陈述</x:v>
      </x:c>
      <x:c r="G53" s="100" t="str"/>
      <x:c r="H53" s="100" t="str"/>
      <x:c r="I53" s="100" t="str">
        <x:v>true</x:v>
      </x:c>
      <x:c r="J53" s="100" t="str">
        <x:v>20</x:v>
      </x:c>
    </x:row>
    <x:row r="54" ht="32" customHeight="1">
      <x:c r="A54" s="100" t="str">
        <x:v>evidence_directness</x:v>
      </x:c>
      <x:c r="B54" s="100" t="str">
        <x:v>证据直接性</x:v>
      </x:c>
      <x:c r="C54" s="100" t="str">
        <x:v>contextual</x:v>
      </x:c>
      <x:c r="D54" s="100" t="str">
        <x:v>语境性</x:v>
      </x:c>
      <x:c r="E54" s="100" t="str">
        <x:v>Contextual</x:v>
      </x:c>
      <x:c r="F54" s="100" t="str">
        <x:v>仅提供背景语境</x:v>
      </x:c>
      <x:c r="G54" s="100" t="str"/>
      <x:c r="H54" s="100" t="str"/>
      <x:c r="I54" s="100" t="str">
        <x:v>true</x:v>
      </x:c>
      <x:c r="J54" s="100" t="str">
        <x:v>30</x:v>
      </x:c>
    </x:row>
    <x:row r="55" ht="32" customHeight="1">
      <x:c r="A55" s="100" t="str">
        <x:v>evidence_directness</x:v>
      </x:c>
      <x:c r="B55" s="100" t="str">
        <x:v>证据直接性</x:v>
      </x:c>
      <x:c r="C55" s="100" t="str">
        <x:v>argument_from_silence</x:v>
      </x:c>
      <x:c r="D55" s="100" t="str">
        <x:v>以沉默为据</x:v>
      </x:c>
      <x:c r="E55" s="100" t="str">
        <x:v>Argument from silence</x:v>
      </x:c>
      <x:c r="F55" s="100" t="str">
        <x:v>以材料未记载某事作为论证的一部分</x:v>
      </x:c>
      <x:c r="G55" s="100" t="str"/>
      <x:c r="H55" s="100" t="str"/>
      <x:c r="I55" s="100" t="str">
        <x:v>true</x:v>
      </x:c>
      <x:c r="J55" s="100" t="str">
        <x:v>40</x:v>
      </x:c>
    </x:row>
    <x:row r="56" ht="32" customHeight="1">
      <x:c r="A56" s="100" t="str">
        <x:v>evidence_strength</x:v>
      </x:c>
      <x:c r="B56" s="100" t="str">
        <x:v>证据强度</x:v>
      </x:c>
      <x:c r="C56" s="100" t="str">
        <x:v>primary</x:v>
      </x:c>
      <x:c r="D56" s="100" t="str">
        <x:v>一手直接</x:v>
      </x:c>
      <x:c r="E56" s="100" t="str">
        <x:v>Primary</x:v>
      </x:c>
      <x:c r="F56" s="100" t="str">
        <x:v>与事件或制度形成过程直接相关的一手材料</x:v>
      </x:c>
      <x:c r="G56" s="100" t="str"/>
      <x:c r="H56" s="100" t="str"/>
      <x:c r="I56" s="100" t="str">
        <x:v>true</x:v>
      </x:c>
      <x:c r="J56" s="100" t="str">
        <x:v>10</x:v>
      </x:c>
    </x:row>
    <x:row r="57" ht="32" customHeight="1">
      <x:c r="A57" s="100" t="str">
        <x:v>evidence_strength</x:v>
      </x:c>
      <x:c r="B57" s="100" t="str">
        <x:v>证据强度</x:v>
      </x:c>
      <x:c r="C57" s="100" t="str">
        <x:v>strong</x:v>
      </x:c>
      <x:c r="D57" s="100" t="str">
        <x:v>强</x:v>
      </x:c>
      <x:c r="E57" s="100" t="str">
        <x:v>Strong</x:v>
      </x:c>
      <x:c r="F57" s="100" t="str">
        <x:v>与命题高度相关且来源链条清楚</x:v>
      </x:c>
      <x:c r="G57" s="100" t="str"/>
      <x:c r="H57" s="100" t="str"/>
      <x:c r="I57" s="100" t="str">
        <x:v>true</x:v>
      </x:c>
      <x:c r="J57" s="100" t="str">
        <x:v>20</x:v>
      </x:c>
    </x:row>
    <x:row r="58" ht="32" customHeight="1">
      <x:c r="A58" s="100" t="str">
        <x:v>evidence_strength</x:v>
      </x:c>
      <x:c r="B58" s="100" t="str">
        <x:v>证据强度</x:v>
      </x:c>
      <x:c r="C58" s="100" t="str">
        <x:v>moderate</x:v>
      </x:c>
      <x:c r="D58" s="100" t="str">
        <x:v>中</x:v>
      </x:c>
      <x:c r="E58" s="100" t="str">
        <x:v>Moderate</x:v>
      </x:c>
      <x:c r="F58" s="100" t="str">
        <x:v>具有支持力但存在间接性或版本局限</x:v>
      </x:c>
      <x:c r="G58" s="100" t="str"/>
      <x:c r="H58" s="100" t="str"/>
      <x:c r="I58" s="100" t="str">
        <x:v>true</x:v>
      </x:c>
      <x:c r="J58" s="100" t="str">
        <x:v>30</x:v>
      </x:c>
    </x:row>
    <x:row r="59" ht="32" customHeight="1">
      <x:c r="A59" s="100" t="str">
        <x:v>evidence_strength</x:v>
      </x:c>
      <x:c r="B59" s="100" t="str">
        <x:v>证据强度</x:v>
      </x:c>
      <x:c r="C59" s="100" t="str">
        <x:v>weak</x:v>
      </x:c>
      <x:c r="D59" s="100" t="str">
        <x:v>弱</x:v>
      </x:c>
      <x:c r="E59" s="100" t="str">
        <x:v>Weak</x:v>
      </x:c>
      <x:c r="F59" s="100" t="str">
        <x:v>只能提供有限线索或来源质量较低</x:v>
      </x:c>
      <x:c r="G59" s="100" t="str"/>
      <x:c r="H59" s="100" t="str"/>
      <x:c r="I59" s="100" t="str">
        <x:v>true</x:v>
      </x:c>
      <x:c r="J59" s="100" t="str">
        <x:v>40</x:v>
      </x:c>
    </x:row>
    <x:row r="60" ht="32" customHeight="1">
      <x:c r="A60" s="100" t="str">
        <x:v>evidence_strength</x:v>
      </x:c>
      <x:c r="B60" s="100" t="str">
        <x:v>证据强度</x:v>
      </x:c>
      <x:c r="C60" s="100" t="str">
        <x:v>unrated</x:v>
      </x:c>
      <x:c r="D60" s="100" t="str">
        <x:v>未评级</x:v>
      </x:c>
      <x:c r="E60" s="100" t="str">
        <x:v>Unrated</x:v>
      </x:c>
      <x:c r="F60" s="100" t="str">
        <x:v>尚未由审核者给出强度判断</x:v>
      </x:c>
      <x:c r="G60" s="100" t="str"/>
      <x:c r="H60" s="100" t="str"/>
      <x:c r="I60" s="100" t="str">
        <x:v>true</x:v>
      </x:c>
      <x:c r="J60" s="100" t="str">
        <x:v>50</x:v>
      </x:c>
    </x:row>
    <x:row r="61" ht="32" customHeight="1">
      <x:c r="A61" s="100" t="str">
        <x:v>certainty</x:v>
      </x:c>
      <x:c r="B61" s="100" t="str">
        <x:v>确定性</x:v>
      </x:c>
      <x:c r="C61" s="100" t="str">
        <x:v>exact</x:v>
      </x:c>
      <x:c r="D61" s="100" t="str">
        <x:v>确定</x:v>
      </x:c>
      <x:c r="E61" s="100" t="str">
        <x:v>Exact</x:v>
      </x:c>
      <x:c r="F61" s="100" t="str">
        <x:v>证据支持精确陈述</x:v>
      </x:c>
      <x:c r="G61" s="100" t="str"/>
      <x:c r="H61" s="100" t="str"/>
      <x:c r="I61" s="100" t="str">
        <x:v>true</x:v>
      </x:c>
      <x:c r="J61" s="100" t="str">
        <x:v>10</x:v>
      </x:c>
    </x:row>
    <x:row r="62" ht="32" customHeight="1">
      <x:c r="A62" s="100" t="str">
        <x:v>certainty</x:v>
      </x:c>
      <x:c r="B62" s="100" t="str">
        <x:v>确定性</x:v>
      </x:c>
      <x:c r="C62" s="100" t="str">
        <x:v>approximate</x:v>
      </x:c>
      <x:c r="D62" s="100" t="str">
        <x:v>约略</x:v>
      </x:c>
      <x:c r="E62" s="100" t="str">
        <x:v>Approximate</x:v>
      </x:c>
      <x:c r="F62" s="100" t="str">
        <x:v>时间数量或描述只能给出近似值</x:v>
      </x:c>
      <x:c r="G62" s="100" t="str"/>
      <x:c r="H62" s="100" t="str"/>
      <x:c r="I62" s="100" t="str">
        <x:v>true</x:v>
      </x:c>
      <x:c r="J62" s="100" t="str">
        <x:v>20</x:v>
      </x:c>
    </x:row>
    <x:row r="63" ht="32" customHeight="1">
      <x:c r="A63" s="100" t="str">
        <x:v>certainty</x:v>
      </x:c>
      <x:c r="B63" s="100" t="str">
        <x:v>确定性</x:v>
      </x:c>
      <x:c r="C63" s="100" t="str">
        <x:v>uncertain</x:v>
      </x:c>
      <x:c r="D63" s="100" t="str">
        <x:v>不确定</x:v>
      </x:c>
      <x:c r="E63" s="100" t="str">
        <x:v>Uncertain</x:v>
      </x:c>
      <x:c r="F63" s="100" t="str">
        <x:v>有明确不确定性但仍可提出候选</x:v>
      </x:c>
      <x:c r="G63" s="100" t="str"/>
      <x:c r="H63" s="100" t="str"/>
      <x:c r="I63" s="100" t="str">
        <x:v>true</x:v>
      </x:c>
      <x:c r="J63" s="100" t="str">
        <x:v>30</x:v>
      </x:c>
    </x:row>
    <x:row r="64" ht="32" customHeight="1">
      <x:c r="A64" s="100" t="str">
        <x:v>certainty</x:v>
      </x:c>
      <x:c r="B64" s="100" t="str">
        <x:v>确定性</x:v>
      </x:c>
      <x:c r="C64" s="100" t="str">
        <x:v>approximate_uncertain</x:v>
      </x:c>
      <x:c r="D64" s="100" t="str">
        <x:v>约略且不确定</x:v>
      </x:c>
      <x:c r="E64" s="100" t="str">
        <x:v>Approximate and uncertain</x:v>
      </x:c>
      <x:c r="F64" s="100" t="str">
        <x:v>同时存在近似与不确定</x:v>
      </x:c>
      <x:c r="G64" s="100" t="str"/>
      <x:c r="H64" s="100" t="str"/>
      <x:c r="I64" s="100" t="str">
        <x:v>true</x:v>
      </x:c>
      <x:c r="J64" s="100" t="str">
        <x:v>40</x:v>
      </x:c>
    </x:row>
    <x:row r="65" ht="32" customHeight="1">
      <x:c r="A65" s="100" t="str">
        <x:v>certainty</x:v>
      </x:c>
      <x:c r="B65" s="100" t="str">
        <x:v>确定性</x:v>
      </x:c>
      <x:c r="C65" s="100" t="str">
        <x:v>inferred</x:v>
      </x:c>
      <x:c r="D65" s="100" t="str">
        <x:v>推定</x:v>
      </x:c>
      <x:c r="E65" s="100" t="str">
        <x:v>Inferred</x:v>
      </x:c>
      <x:c r="F65" s="100" t="str">
        <x:v>由编辑根据材料推定而来</x:v>
      </x:c>
      <x:c r="G65" s="100" t="str"/>
      <x:c r="H65" s="100" t="str"/>
      <x:c r="I65" s="100" t="str">
        <x:v>true</x:v>
      </x:c>
      <x:c r="J65" s="100" t="str">
        <x:v>50</x:v>
      </x:c>
    </x:row>
    <x:row r="66" ht="32" customHeight="1">
      <x:c r="A66" s="100" t="str">
        <x:v>certainty</x:v>
      </x:c>
      <x:c r="B66" s="100" t="str">
        <x:v>确定性</x:v>
      </x:c>
      <x:c r="C66" s="100" t="str">
        <x:v>unknown</x:v>
      </x:c>
      <x:c r="D66" s="100" t="str">
        <x:v>未知</x:v>
      </x:c>
      <x:c r="E66" s="100" t="str">
        <x:v>Unknown</x:v>
      </x:c>
      <x:c r="F66" s="100" t="str">
        <x:v>目前无法判断</x:v>
      </x:c>
      <x:c r="G66" s="100" t="str"/>
      <x:c r="H66" s="100" t="str"/>
      <x:c r="I66" s="100" t="str">
        <x:v>true</x:v>
      </x:c>
      <x:c r="J66" s="100" t="str">
        <x:v>60</x:v>
      </x:c>
    </x:row>
    <x:row r="67" ht="32" customHeight="1">
      <x:c r="A67" s="100" t="str">
        <x:v>rights_color</x:v>
      </x:c>
      <x:c r="B67" s="100" t="str">
        <x:v>权利颜色</x:v>
      </x:c>
      <x:c r="C67" s="100" t="str">
        <x:v>green</x:v>
      </x:c>
      <x:c r="D67" s="100" t="str">
        <x:v>绿</x:v>
      </x:c>
      <x:c r="E67" s="100" t="str">
        <x:v>Green</x:v>
      </x:c>
      <x:c r="F67" s="100" t="str">
        <x:v>已确认公版开放许可或书面授权；仍须遵守对象级条件</x:v>
      </x:c>
      <x:c r="G67" s="100" t="str"/>
      <x:c r="H67" s="100" t="str"/>
      <x:c r="I67" s="100" t="str">
        <x:v>true</x:v>
      </x:c>
      <x:c r="J67" s="100" t="str">
        <x:v>10</x:v>
      </x:c>
    </x:row>
    <x:row r="68" ht="32" customHeight="1">
      <x:c r="A68" s="100" t="str">
        <x:v>rights_color</x:v>
      </x:c>
      <x:c r="B68" s="100" t="str">
        <x:v>权利颜色</x:v>
      </x:c>
      <x:c r="C68" s="100" t="str">
        <x:v>yellow</x:v>
      </x:c>
      <x:c r="D68" s="100" t="str">
        <x:v>黄</x:v>
      </x:c>
      <x:c r="E68" s="100" t="str">
        <x:v>Yellow</x:v>
      </x:c>
      <x:c r="F68" s="100" t="str">
        <x:v>仅可查询或权利未完全确认；默认只保存自建元数据并外链</x:v>
      </x:c>
      <x:c r="G68" s="100" t="str"/>
      <x:c r="H68" s="100" t="str"/>
      <x:c r="I68" s="100" t="str">
        <x:v>true</x:v>
      </x:c>
      <x:c r="J68" s="100" t="str">
        <x:v>20</x:v>
      </x:c>
    </x:row>
    <x:row r="69" ht="32" customHeight="1">
      <x:c r="A69" s="100" t="str">
        <x:v>rights_color</x:v>
      </x:c>
      <x:c r="B69" s="100" t="str">
        <x:v>权利颜色</x:v>
      </x:c>
      <x:c r="C69" s="100" t="str">
        <x:v>red</x:v>
      </x:c>
      <x:c r="D69" s="100" t="str">
        <x:v>红</x:v>
      </x:c>
      <x:c r="E69" s="100" t="str">
        <x:v>Red</x:v>
      </x:c>
      <x:c r="F69" s="100" t="str">
        <x:v>明确禁止或当前条件不允许计划中的获取展示或商业使用</x:v>
      </x:c>
      <x:c r="G69" s="100" t="str"/>
      <x:c r="H69" s="100" t="str"/>
      <x:c r="I69" s="100" t="str">
        <x:v>true</x:v>
      </x:c>
      <x:c r="J69" s="100" t="str">
        <x:v>30</x:v>
      </x:c>
    </x:row>
    <x:row r="70" ht="32" customHeight="1">
      <x:c r="A70" s="100" t="str">
        <x:v>source_level</x:v>
      </x:c>
      <x:c r="B70" s="100" t="str">
        <x:v>来源等级</x:v>
      </x:c>
      <x:c r="C70" s="100" t="str">
        <x:v>A1</x:v>
      </x:c>
      <x:c r="D70" s="100" t="str">
        <x:v>原始同时代档案</x:v>
      </x:c>
      <x:c r="E70" s="100" t="str">
        <x:v>A1 primary contemporary archive</x:v>
      </x:c>
      <x:c r="F70" s="100" t="str">
        <x:v>事件或制度运行中形成的原始档案</x:v>
      </x:c>
      <x:c r="G70" s="100" t="str"/>
      <x:c r="H70" s="100" t="str"/>
      <x:c r="I70" s="100" t="str">
        <x:v>true</x:v>
      </x:c>
      <x:c r="J70" s="100" t="str">
        <x:v>10</x:v>
      </x:c>
    </x:row>
    <x:row r="71" ht="32" customHeight="1">
      <x:c r="A71" s="100" t="str">
        <x:v>source_level</x:v>
      </x:c>
      <x:c r="B71" s="100" t="str">
        <x:v>来源等级</x:v>
      </x:c>
      <x:c r="C71" s="100" t="str">
        <x:v>A2</x:v>
      </x:c>
      <x:c r="D71" s="100" t="str">
        <x:v>官修汇编与制度文献</x:v>
      </x:c>
      <x:c r="E71" s="100" t="str">
        <x:v>A2 official compilation</x:v>
      </x:c>
      <x:c r="F71" s="100" t="str">
        <x:v>官修实录会典史馆材料等；仍需注意修纂目的与时间差</x:v>
      </x:c>
      <x:c r="G71" s="100" t="str"/>
      <x:c r="H71" s="100" t="str"/>
      <x:c r="I71" s="100" t="str">
        <x:v>true</x:v>
      </x:c>
      <x:c r="J71" s="100" t="str">
        <x:v>20</x:v>
      </x:c>
    </x:row>
    <x:row r="72" ht="32" customHeight="1">
      <x:c r="A72" s="100" t="str">
        <x:v>source_level</x:v>
      </x:c>
      <x:c r="B72" s="100" t="str">
        <x:v>来源等级</x:v>
      </x:c>
      <x:c r="C72" s="100" t="str">
        <x:v>B</x:v>
      </x:c>
      <x:c r="D72" s="100" t="str">
        <x:v>权威整理与学术研究</x:v>
      </x:c>
      <x:c r="E72" s="100" t="str">
        <x:v>B scholarly or authoritative synthesis</x:v>
      </x:c>
      <x:c r="F72" s="100" t="str">
        <x:v>可靠整理本馆藏说明与同行研究</x:v>
      </x:c>
      <x:c r="G72" s="100" t="str"/>
      <x:c r="H72" s="100" t="str"/>
      <x:c r="I72" s="100" t="str">
        <x:v>true</x:v>
      </x:c>
      <x:c r="J72" s="100" t="str">
        <x:v>30</x:v>
      </x:c>
    </x:row>
    <x:row r="73" ht="32" customHeight="1">
      <x:c r="A73" s="100" t="str">
        <x:v>source_level</x:v>
      </x:c>
      <x:c r="B73" s="100" t="str">
        <x:v>来源等级</x:v>
      </x:c>
      <x:c r="C73" s="100" t="str">
        <x:v>C</x:v>
      </x:c>
      <x:c r="D73" s="100" t="str">
        <x:v>通行数字文本与参考工具</x:v>
      </x:c>
      <x:c r="E73" s="100" t="str">
        <x:v>C reference or digital text</x:v>
      </x:c>
      <x:c r="F73" s="100" t="str">
        <x:v>便于发现但版本OCR或权利需再核验</x:v>
      </x:c>
      <x:c r="G73" s="100" t="str"/>
      <x:c r="H73" s="100" t="str"/>
      <x:c r="I73" s="100" t="str">
        <x:v>true</x:v>
      </x:c>
      <x:c r="J73" s="100" t="str">
        <x:v>40</x:v>
      </x:c>
    </x:row>
    <x:row r="74" ht="32" customHeight="1">
      <x:c r="A74" s="100" t="str">
        <x:v>source_level</x:v>
      </x:c>
      <x:c r="B74" s="100" t="str">
        <x:v>来源等级</x:v>
      </x:c>
      <x:c r="C74" s="100" t="str">
        <x:v>D</x:v>
      </x:c>
      <x:c r="D74" s="100" t="str">
        <x:v>未核传闻与大众内容</x:v>
      </x:c>
      <x:c r="E74" s="100" t="str">
        <x:v>D unverified popular content</x:v>
      </x:c>
      <x:c r="F74" s="100" t="str">
        <x:v>只能做线索不可进入正式事实层</x:v>
      </x:c>
      <x:c r="G74" s="100" t="str"/>
      <x:c r="H74" s="100" t="str"/>
      <x:c r="I74" s="100" t="str">
        <x:v>true</x:v>
      </x:c>
      <x:c r="J74" s="100" t="str">
        <x:v>50</x:v>
      </x:c>
    </x:row>
    <x:row r="75" ht="32" customHeight="1">
      <x:c r="A75" s="100" t="str">
        <x:v>review_status</x:v>
      </x:c>
      <x:c r="B75" s="100" t="str">
        <x:v>审核状态</x:v>
      </x:c>
      <x:c r="C75" s="100" t="str">
        <x:v>not_started</x:v>
      </x:c>
      <x:c r="D75" s="100" t="str">
        <x:v>未开始</x:v>
      </x:c>
      <x:c r="E75" s="100" t="str">
        <x:v>Not started</x:v>
      </x:c>
      <x:c r="F75" s="100" t="str">
        <x:v>尚未分派审核</x:v>
      </x:c>
      <x:c r="G75" s="100" t="str"/>
      <x:c r="H75" s="100" t="str"/>
      <x:c r="I75" s="100" t="str">
        <x:v>true</x:v>
      </x:c>
      <x:c r="J75" s="100" t="str">
        <x:v>10</x:v>
      </x:c>
    </x:row>
    <x:row r="76" ht="32" customHeight="1">
      <x:c r="A76" s="100" t="str">
        <x:v>review_status</x:v>
      </x:c>
      <x:c r="B76" s="100" t="str">
        <x:v>审核状态</x:v>
      </x:c>
      <x:c r="C76" s="100" t="str">
        <x:v>needs_source</x:v>
      </x:c>
      <x:c r="D76" s="100" t="str">
        <x:v>待补来源</x:v>
      </x:c>
      <x:c r="E76" s="100" t="str">
        <x:v>Needs source</x:v>
      </x:c>
      <x:c r="F76" s="100" t="str">
        <x:v>没有满足要求的具体来源与定位</x:v>
      </x:c>
      <x:c r="G76" s="100" t="str"/>
      <x:c r="H76" s="100" t="str"/>
      <x:c r="I76" s="100" t="str">
        <x:v>true</x:v>
      </x:c>
      <x:c r="J76" s="100" t="str">
        <x:v>20</x:v>
      </x:c>
    </x:row>
    <x:row r="77" ht="32" customHeight="1">
      <x:c r="A77" s="100" t="str">
        <x:v>review_status</x:v>
      </x:c>
      <x:c r="B77" s="100" t="str">
        <x:v>审核状态</x:v>
      </x:c>
      <x:c r="C77" s="100" t="str">
        <x:v>first_checked</x:v>
      </x:c>
      <x:c r="D77" s="100" t="str">
        <x:v>一校完成</x:v>
      </x:c>
      <x:c r="E77" s="100" t="str">
        <x:v>First checked</x:v>
      </x:c>
      <x:c r="F77" s="100" t="str">
        <x:v>文字和基础元数据已完成一校</x:v>
      </x:c>
      <x:c r="G77" s="100" t="str"/>
      <x:c r="H77" s="100" t="str"/>
      <x:c r="I77" s="100" t="str">
        <x:v>true</x:v>
      </x:c>
      <x:c r="J77" s="100" t="str">
        <x:v>30</x:v>
      </x:c>
    </x:row>
    <x:row r="78" ht="32" customHeight="1">
      <x:c r="A78" s="100" t="str">
        <x:v>review_status</x:v>
      </x:c>
      <x:c r="B78" s="100" t="str">
        <x:v>审核状态</x:v>
      </x:c>
      <x:c r="C78" s="100" t="str">
        <x:v>second_checked</x:v>
      </x:c>
      <x:c r="D78" s="100" t="str">
        <x:v>二校完成</x:v>
      </x:c>
      <x:c r="E78" s="100" t="str">
        <x:v>Second checked</x:v>
      </x:c>
      <x:c r="F78" s="100" t="str">
        <x:v>页行消歧日期与关系已完成二校</x:v>
      </x:c>
      <x:c r="G78" s="100" t="str"/>
      <x:c r="H78" s="100" t="str"/>
      <x:c r="I78" s="100" t="str">
        <x:v>true</x:v>
      </x:c>
      <x:c r="J78" s="100" t="str">
        <x:v>40</x:v>
      </x:c>
    </x:row>
    <x:row r="79" ht="32" customHeight="1">
      <x:c r="A79" s="100" t="str">
        <x:v>review_status</x:v>
      </x:c>
      <x:c r="B79" s="100" t="str">
        <x:v>审核状态</x:v>
      </x:c>
      <x:c r="C79" s="100" t="str">
        <x:v>academic_review</x:v>
      </x:c>
      <x:c r="D79" s="100" t="str">
        <x:v>学术审核中</x:v>
      </x:c>
      <x:c r="E79" s="100" t="str">
        <x:v>Academic review</x:v>
      </x:c>
      <x:c r="F79" s="100" t="str">
        <x:v>由学术负责人或授权审核者复核</x:v>
      </x:c>
      <x:c r="G79" s="100" t="str"/>
      <x:c r="H79" s="100" t="str"/>
      <x:c r="I79" s="100" t="str">
        <x:v>true</x:v>
      </x:c>
      <x:c r="J79" s="100" t="str">
        <x:v>50</x:v>
      </x:c>
    </x:row>
    <x:row r="80" ht="32" customHeight="1">
      <x:c r="A80" s="100" t="str">
        <x:v>review_status</x:v>
      </x:c>
      <x:c r="B80" s="100" t="str">
        <x:v>审核状态</x:v>
      </x:c>
      <x:c r="C80" s="100" t="str">
        <x:v>rights_review</x:v>
      </x:c>
      <x:c r="D80" s="100" t="str">
        <x:v>权利审核中</x:v>
      </x:c>
      <x:c r="E80" s="100" t="str">
        <x:v>Rights review</x:v>
      </x:c>
      <x:c r="F80" s="100" t="str">
        <x:v>由版权与馆藏负责人复核</x:v>
      </x:c>
      <x:c r="G80" s="100" t="str"/>
      <x:c r="H80" s="100" t="str"/>
      <x:c r="I80" s="100" t="str">
        <x:v>true</x:v>
      </x:c>
      <x:c r="J80" s="100" t="str">
        <x:v>60</x:v>
      </x:c>
    </x:row>
    <x:row r="81" ht="32" customHeight="1">
      <x:c r="A81" s="100" t="str">
        <x:v>review_status</x:v>
      </x:c>
      <x:c r="B81" s="100" t="str">
        <x:v>审核状态</x:v>
      </x:c>
      <x:c r="C81" s="100" t="str">
        <x:v>approved</x:v>
      </x:c>
      <x:c r="D81" s="100" t="str">
        <x:v>已通过</x:v>
      </x:c>
      <x:c r="E81" s="100" t="str">
        <x:v>Approved</x:v>
      </x:c>
      <x:c r="F81" s="100" t="str">
        <x:v>已满足当前发布门槛</x:v>
      </x:c>
      <x:c r="G81" s="100" t="str"/>
      <x:c r="H81" s="100" t="str"/>
      <x:c r="I81" s="100" t="str">
        <x:v>true</x:v>
      </x:c>
      <x:c r="J81" s="100" t="str">
        <x:v>70</x:v>
      </x:c>
    </x:row>
    <x:row r="82" ht="32" customHeight="1">
      <x:c r="A82" s="100" t="str">
        <x:v>review_status</x:v>
      </x:c>
      <x:c r="B82" s="100" t="str">
        <x:v>审核状态</x:v>
      </x:c>
      <x:c r="C82" s="100" t="str">
        <x:v>blocked</x:v>
      </x:c>
      <x:c r="D82" s="100" t="str">
        <x:v>阻塞</x:v>
      </x:c>
      <x:c r="E82" s="100" t="str">
        <x:v>Blocked</x:v>
      </x:c>
      <x:c r="F82" s="100" t="str">
        <x:v>因缺来源权限专家或其他前置条件无法继续</x:v>
      </x:c>
      <x:c r="G82" s="100" t="str"/>
      <x:c r="H82" s="100" t="str"/>
      <x:c r="I82" s="100" t="str">
        <x:v>true</x:v>
      </x:c>
      <x:c r="J82" s="100" t="str">
        <x:v>80</x:v>
      </x:c>
    </x:row>
    <x:row r="83" ht="32" customHeight="1">
      <x:c r="A83" s="100" t="str">
        <x:v>priority</x:v>
      </x:c>
      <x:c r="B83" s="100" t="str">
        <x:v>优先级</x:v>
      </x:c>
      <x:c r="C83" s="100" t="str">
        <x:v>P0</x:v>
      </x:c>
      <x:c r="D83" s="100" t="str">
        <x:v>阻断级</x:v>
      </x:c>
      <x:c r="E83" s="100" t="str">
        <x:v>P0 blocker</x:v>
      </x:c>
      <x:c r="F83" s="100" t="str">
        <x:v>会导致错误历史结论侵权或不可恢复数据问题</x:v>
      </x:c>
      <x:c r="G83" s="100" t="str"/>
      <x:c r="H83" s="100" t="str"/>
      <x:c r="I83" s="100" t="str">
        <x:v>true</x:v>
      </x:c>
      <x:c r="J83" s="100" t="str">
        <x:v>10</x:v>
      </x:c>
    </x:row>
    <x:row r="84" ht="32" customHeight="1">
      <x:c r="A84" s="100" t="str">
        <x:v>priority</x:v>
      </x:c>
      <x:c r="B84" s="100" t="str">
        <x:v>优先级</x:v>
      </x:c>
      <x:c r="C84" s="100" t="str">
        <x:v>P1</x:v>
      </x:c>
      <x:c r="D84" s="100" t="str">
        <x:v>核心级</x:v>
      </x:c>
      <x:c r="E84" s="100" t="str">
        <x:v>P1 critical</x:v>
      </x:c>
      <x:c r="F84" s="100" t="str">
        <x:v>阻断核心任务或造成系统性误导</x:v>
      </x:c>
      <x:c r="G84" s="100" t="str"/>
      <x:c r="H84" s="100" t="str"/>
      <x:c r="I84" s="100" t="str">
        <x:v>true</x:v>
      </x:c>
      <x:c r="J84" s="100" t="str">
        <x:v>20</x:v>
      </x:c>
    </x:row>
    <x:row r="85" ht="32" customHeight="1">
      <x:c r="A85" s="100" t="str">
        <x:v>priority</x:v>
      </x:c>
      <x:c r="B85" s="100" t="str">
        <x:v>优先级</x:v>
      </x:c>
      <x:c r="C85" s="100" t="str">
        <x:v>P2</x:v>
      </x:c>
      <x:c r="D85" s="100" t="str">
        <x:v>重要级</x:v>
      </x:c>
      <x:c r="E85" s="100" t="str">
        <x:v>P2 important</x:v>
      </x:c>
      <x:c r="F85" s="100" t="str">
        <x:v>影响效率或非核心体验但不阻断验证</x:v>
      </x:c>
      <x:c r="G85" s="100" t="str"/>
      <x:c r="H85" s="100" t="str"/>
      <x:c r="I85" s="100" t="str">
        <x:v>true</x:v>
      </x:c>
      <x:c r="J85" s="100" t="str">
        <x:v>30</x:v>
      </x:c>
    </x:row>
    <x:row r="86" ht="32" customHeight="1">
      <x:c r="A86" s="100" t="str">
        <x:v>priority</x:v>
      </x:c>
      <x:c r="B86" s="100" t="str">
        <x:v>优先级</x:v>
      </x:c>
      <x:c r="C86" s="100" t="str">
        <x:v>P3</x:v>
      </x:c>
      <x:c r="D86" s="100" t="str">
        <x:v>优化级</x:v>
      </x:c>
      <x:c r="E86" s="100" t="str">
        <x:v>P3 polish</x:v>
      </x:c>
      <x:c r="F86" s="100" t="str">
        <x:v>外观偏好或未来扩展想法</x:v>
      </x:c>
      <x:c r="G86" s="100" t="str"/>
      <x:c r="H86" s="100" t="str"/>
      <x:c r="I86" s="100" t="str">
        <x:v>true</x:v>
      </x:c>
      <x:c r="J86" s="100" t="str">
        <x:v>40</x:v>
      </x:c>
    </x:row>
    <x:row r="87" ht="32" customHeight="1">
      <x:c r="A87" s="100" t="str">
        <x:v>depiction_identification</x:v>
      </x:c>
      <x:c r="B87" s="100" t="str">
        <x:v>画像人物认定</x:v>
      </x:c>
      <x:c r="C87" s="100" t="str">
        <x:v>inscription_explicit</x:v>
      </x:c>
      <x:c r="D87" s="100" t="str">
        <x:v>题名明确</x:v>
      </x:c>
      <x:c r="E87" s="100" t="str">
        <x:v>Inscription explicit</x:v>
      </x:c>
      <x:c r="F87" s="100" t="str">
        <x:v>画面题名或同时代文字明确指认人物</x:v>
      </x:c>
      <x:c r="G87" s="100" t="str"/>
      <x:c r="H87" s="100" t="str"/>
      <x:c r="I87" s="100" t="str">
        <x:v>true</x:v>
      </x:c>
      <x:c r="J87" s="100" t="str">
        <x:v>10</x:v>
      </x:c>
    </x:row>
    <x:row r="88" ht="32" customHeight="1">
      <x:c r="A88" s="100" t="str">
        <x:v>depiction_identification</x:v>
      </x:c>
      <x:c r="B88" s="100" t="str">
        <x:v>画像人物认定</x:v>
      </x:c>
      <x:c r="C88" s="100" t="str">
        <x:v>catalog_attribution</x:v>
      </x:c>
      <x:c r="D88" s="100" t="str">
        <x:v>馆藏著录认定</x:v>
      </x:c>
      <x:c r="E88" s="100" t="str">
        <x:v>Catalog attribution</x:v>
      </x:c>
      <x:c r="F88" s="100" t="str">
        <x:v>当前馆藏目录把画面著录为该人物</x:v>
      </x:c>
      <x:c r="G88" s="100" t="str"/>
      <x:c r="H88" s="100" t="str"/>
      <x:c r="I88" s="100" t="str">
        <x:v>true</x:v>
      </x:c>
      <x:c r="J88" s="100" t="str">
        <x:v>20</x:v>
      </x:c>
    </x:row>
    <x:row r="89" ht="32" customHeight="1">
      <x:c r="A89" s="100" t="str">
        <x:v>depiction_identification</x:v>
      </x:c>
      <x:c r="B89" s="100" t="str">
        <x:v>画像人物认定</x:v>
      </x:c>
      <x:c r="C89" s="100" t="str">
        <x:v>scholarly_identification</x:v>
      </x:c>
      <x:c r="D89" s="100" t="str">
        <x:v>学术研究认定</x:v>
      </x:c>
      <x:c r="E89" s="100" t="str">
        <x:v>Scholarly identification</x:v>
      </x:c>
      <x:c r="F89" s="100" t="str">
        <x:v>学术研究基于材料提出人物认定</x:v>
      </x:c>
      <x:c r="G89" s="100" t="str"/>
      <x:c r="H89" s="100" t="str"/>
      <x:c r="I89" s="100" t="str">
        <x:v>true</x:v>
      </x:c>
      <x:c r="J89" s="100" t="str">
        <x:v>30</x:v>
      </x:c>
    </x:row>
    <x:row r="90" ht="32" customHeight="1">
      <x:c r="A90" s="100" t="str">
        <x:v>depiction_identification</x:v>
      </x:c>
      <x:c r="B90" s="100" t="str">
        <x:v>画像人物认定</x:v>
      </x:c>
      <x:c r="C90" s="100" t="str">
        <x:v>traditional_identification</x:v>
      </x:c>
      <x:c r="D90" s="100" t="str">
        <x:v>传统传称</x:v>
      </x:c>
      <x:c r="E90" s="100" t="str">
        <x:v>Traditional identification</x:v>
      </x:c>
      <x:c r="F90" s="100" t="str">
        <x:v>长期传为某人但证据链有限</x:v>
      </x:c>
      <x:c r="G90" s="100" t="str"/>
      <x:c r="H90" s="100" t="str"/>
      <x:c r="I90" s="100" t="str">
        <x:v>true</x:v>
      </x:c>
      <x:c r="J90" s="100" t="str">
        <x:v>40</x:v>
      </x:c>
    </x:row>
    <x:row r="91" ht="32" customHeight="1">
      <x:c r="A91" s="100" t="str">
        <x:v>depiction_identification</x:v>
      </x:c>
      <x:c r="B91" s="100" t="str">
        <x:v>画像人物认定</x:v>
      </x:c>
      <x:c r="C91" s="100" t="str">
        <x:v>probable</x:v>
      </x:c>
      <x:c r="D91" s="100" t="str">
        <x:v>很可能</x:v>
      </x:c>
      <x:c r="E91" s="100" t="str">
        <x:v>Probable</x:v>
      </x:c>
      <x:c r="F91" s="100" t="str">
        <x:v>综合证据较可能但尚非确定</x:v>
      </x:c>
      <x:c r="G91" s="100" t="str"/>
      <x:c r="H91" s="100" t="str"/>
      <x:c r="I91" s="100" t="str">
        <x:v>true</x:v>
      </x:c>
      <x:c r="J91" s="100" t="str">
        <x:v>50</x:v>
      </x:c>
    </x:row>
    <x:row r="92" ht="32" customHeight="1">
      <x:c r="A92" s="100" t="str">
        <x:v>depiction_identification</x:v>
      </x:c>
      <x:c r="B92" s="100" t="str">
        <x:v>画像人物认定</x:v>
      </x:c>
      <x:c r="C92" s="100" t="str">
        <x:v>possible</x:v>
      </x:c>
      <x:c r="D92" s="100" t="str">
        <x:v>可能</x:v>
      </x:c>
      <x:c r="E92" s="100" t="str">
        <x:v>Possible</x:v>
      </x:c>
      <x:c r="F92" s="100" t="str">
        <x:v>只能作为可能候选</x:v>
      </x:c>
      <x:c r="G92" s="100" t="str"/>
      <x:c r="H92" s="100" t="str"/>
      <x:c r="I92" s="100" t="str">
        <x:v>true</x:v>
      </x:c>
      <x:c r="J92" s="100" t="str">
        <x:v>60</x:v>
      </x:c>
    </x:row>
    <x:row r="93" ht="32" customHeight="1">
      <x:c r="A93" s="100" t="str">
        <x:v>depiction_identification</x:v>
      </x:c>
      <x:c r="B93" s="100" t="str">
        <x:v>画像人物认定</x:v>
      </x:c>
      <x:c r="C93" s="100" t="str">
        <x:v>rejected_identification</x:v>
      </x:c>
      <x:c r="D93" s="100" t="str">
        <x:v>已否定认定</x:v>
      </x:c>
      <x:c r="E93" s="100" t="str">
        <x:v>Rejected identification</x:v>
      </x:c>
      <x:c r="F93" s="100" t="str">
        <x:v>已有充分理由否定旧的人物认定</x:v>
      </x:c>
      <x:c r="G93" s="100" t="str"/>
      <x:c r="H93" s="100" t="str"/>
      <x:c r="I93" s="100" t="str">
        <x:v>true</x:v>
      </x:c>
      <x:c r="J93" s="100" t="str">
        <x:v>70</x:v>
      </x:c>
    </x:row>
    <x:row r="94" ht="32" customHeight="1">
      <x:c r="A94" s="100" t="str">
        <x:v>image_nature</x:v>
      </x:c>
      <x:c r="B94" s="100" t="str">
        <x:v>图像性质</x:v>
      </x:c>
      <x:c r="C94" s="100" t="str">
        <x:v>historical_original</x:v>
      </x:c>
      <x:c r="D94" s="100" t="str">
        <x:v>历史原件</x:v>
      </x:c>
      <x:c r="E94" s="100" t="str">
        <x:v>Historical original</x:v>
      </x:c>
      <x:c r="F94" s="100" t="str">
        <x:v>清代形成且与对象同时代或接近同时代的原件</x:v>
      </x:c>
      <x:c r="G94" s="100" t="str"/>
      <x:c r="H94" s="100" t="str"/>
      <x:c r="I94" s="100" t="str">
        <x:v>true</x:v>
      </x:c>
      <x:c r="J94" s="100" t="str">
        <x:v>10</x:v>
      </x:c>
    </x:row>
    <x:row r="95" ht="32" customHeight="1">
      <x:c r="A95" s="100" t="str">
        <x:v>image_nature</x:v>
      </x:c>
      <x:c r="B95" s="100" t="str">
        <x:v>图像性质</x:v>
      </x:c>
      <x:c r="C95" s="100" t="str">
        <x:v>later_historical_art</x:v>
      </x:c>
      <x:c r="D95" s="100" t="str">
        <x:v>后世历史艺术</x:v>
      </x:c>
      <x:c r="E95" s="100" t="str">
        <x:v>Later historical art</x:v>
      </x:c>
      <x:c r="F95" s="100" t="str">
        <x:v>晚于对象所处时代的传统或历史题材创作</x:v>
      </x:c>
      <x:c r="G95" s="100" t="str"/>
      <x:c r="H95" s="100" t="str"/>
      <x:c r="I95" s="100" t="str">
        <x:v>true</x:v>
      </x:c>
      <x:c r="J95" s="100" t="str">
        <x:v>20</x:v>
      </x:c>
    </x:row>
    <x:row r="96" ht="32" customHeight="1">
      <x:c r="A96" s="100" t="str">
        <x:v>image_nature</x:v>
      </x:c>
      <x:c r="B96" s="100" t="str">
        <x:v>图像性质</x:v>
      </x:c>
      <x:c r="C96" s="100" t="str">
        <x:v>modern_illustration</x:v>
      </x:c>
      <x:c r="D96" s="100" t="str">
        <x:v>现代插画</x:v>
      </x:c>
      <x:c r="E96" s="100" t="str">
        <x:v>Modern illustration</x:v>
      </x:c>
      <x:c r="F96" s="100" t="str">
        <x:v>现代人工创作的说明性或艺术性图像</x:v>
      </x:c>
      <x:c r="G96" s="100" t="str"/>
      <x:c r="H96" s="100" t="str"/>
      <x:c r="I96" s="100" t="str">
        <x:v>true</x:v>
      </x:c>
      <x:c r="J96" s="100" t="str">
        <x:v>30</x:v>
      </x:c>
    </x:row>
    <x:row r="97" ht="32" customHeight="1">
      <x:c r="A97" s="100" t="str">
        <x:v>image_nature</x:v>
      </x:c>
      <x:c r="B97" s="100" t="str">
        <x:v>图像性质</x:v>
      </x:c>
      <x:c r="C97" s="100" t="str">
        <x:v>ai_reconstruction</x:v>
      </x:c>
      <x:c r="D97" s="100" t="str">
        <x:v>AI 再现</x:v>
      </x:c>
      <x:c r="E97" s="100" t="str">
        <x:v>AI reconstruction</x:v>
      </x:c>
      <x:c r="F97" s="100" t="str">
        <x:v>由生成式模型制作的假想视觉再现；不得伪装成史料</x:v>
      </x:c>
      <x:c r="G97" s="100" t="str"/>
      <x:c r="H97" s="100" t="str"/>
      <x:c r="I97" s="100" t="str">
        <x:v>true</x:v>
      </x:c>
      <x:c r="J97" s="100" t="str">
        <x:v>40</x:v>
      </x:c>
    </x:row>
    <x:row r="98" ht="32" customHeight="1">
      <x:c r="A98" s="100" t="str">
        <x:v>image_nature</x:v>
      </x:c>
      <x:c r="B98" s="100" t="str">
        <x:v>图像性质</x:v>
      </x:c>
      <x:c r="C98" s="100" t="str">
        <x:v>document_scan</x:v>
      </x:c>
      <x:c r="D98" s="100" t="str">
        <x:v>文献影像</x:v>
      </x:c>
      <x:c r="E98" s="100" t="str">
        <x:v>Document scan</x:v>
      </x:c>
      <x:c r="F98" s="100" t="str">
        <x:v>书页档案或文献载体的数字影像</x:v>
      </x:c>
      <x:c r="G98" s="100" t="str"/>
      <x:c r="H98" s="100" t="str"/>
      <x:c r="I98" s="100" t="str">
        <x:v>true</x:v>
      </x:c>
      <x:c r="J98" s="100" t="str">
        <x:v>50</x:v>
      </x:c>
    </x:row>
    <x:row r="99" ht="32" customHeight="1">
      <x:c r="A99" s="100" t="str">
        <x:v>task_status</x:v>
      </x:c>
      <x:c r="B99" s="100" t="str">
        <x:v>任务状态</x:v>
      </x:c>
      <x:c r="C99" s="100" t="str">
        <x:v>not_started</x:v>
      </x:c>
      <x:c r="D99" s="100" t="str">
        <x:v>未开始</x:v>
      </x:c>
      <x:c r="E99" s="100" t="str">
        <x:v>Not started</x:v>
      </x:c>
      <x:c r="F99" s="100" t="str">
        <x:v>任务尚未启动</x:v>
      </x:c>
      <x:c r="G99" s="100" t="str"/>
      <x:c r="H99" s="100" t="str"/>
      <x:c r="I99" s="100" t="str">
        <x:v>true</x:v>
      </x:c>
      <x:c r="J99" s="100" t="str">
        <x:v>10</x:v>
      </x:c>
    </x:row>
    <x:row r="100" ht="32" customHeight="1">
      <x:c r="A100" s="100" t="str">
        <x:v>task_status</x:v>
      </x:c>
      <x:c r="B100" s="100" t="str">
        <x:v>任务状态</x:v>
      </x:c>
      <x:c r="C100" s="100" t="str">
        <x:v>in_progress</x:v>
      </x:c>
      <x:c r="D100" s="100" t="str">
        <x:v>进行中</x:v>
      </x:c>
      <x:c r="E100" s="100" t="str">
        <x:v>In progress</x:v>
      </x:c>
      <x:c r="F100" s="100" t="str">
        <x:v>任务已启动且正在推进</x:v>
      </x:c>
      <x:c r="G100" s="100" t="str"/>
      <x:c r="H100" s="100" t="str"/>
      <x:c r="I100" s="100" t="str">
        <x:v>true</x:v>
      </x:c>
      <x:c r="J100" s="100" t="str">
        <x:v>20</x:v>
      </x:c>
    </x:row>
    <x:row r="101" ht="32" customHeight="1">
      <x:c r="A101" s="100" t="str">
        <x:v>task_status</x:v>
      </x:c>
      <x:c r="B101" s="100" t="str">
        <x:v>任务状态</x:v>
      </x:c>
      <x:c r="C101" s="100" t="str">
        <x:v>blocked</x:v>
      </x:c>
      <x:c r="D101" s="100" t="str">
        <x:v>阻塞</x:v>
      </x:c>
      <x:c r="E101" s="100" t="str">
        <x:v>Blocked</x:v>
      </x:c>
      <x:c r="F101" s="100" t="str">
        <x:v>任务因明确前置条件无法继续</x:v>
      </x:c>
      <x:c r="G101" s="100" t="str"/>
      <x:c r="H101" s="100" t="str"/>
      <x:c r="I101" s="100" t="str">
        <x:v>true</x:v>
      </x:c>
      <x:c r="J101" s="100" t="str">
        <x:v>30</x:v>
      </x:c>
    </x:row>
    <x:row r="102" ht="32" customHeight="1">
      <x:c r="A102" s="100" t="str">
        <x:v>task_status</x:v>
      </x:c>
      <x:c r="B102" s="100" t="str">
        <x:v>任务状态</x:v>
      </x:c>
      <x:c r="C102" s="100" t="str">
        <x:v>under_review</x:v>
      </x:c>
      <x:c r="D102" s="100" t="str">
        <x:v>待审核</x:v>
      </x:c>
      <x:c r="E102" s="100" t="str">
        <x:v>Under review</x:v>
      </x:c>
      <x:c r="F102" s="100" t="str">
        <x:v>任务产出已提交等待审核</x:v>
      </x:c>
      <x:c r="G102" s="100" t="str"/>
      <x:c r="H102" s="100" t="str"/>
      <x:c r="I102" s="100" t="str">
        <x:v>true</x:v>
      </x:c>
      <x:c r="J102" s="100" t="str">
        <x:v>40</x:v>
      </x:c>
    </x:row>
    <x:row r="103" ht="32" customHeight="1">
      <x:c r="A103" s="100" t="str">
        <x:v>task_status</x:v>
      </x:c>
      <x:c r="B103" s="100" t="str">
        <x:v>任务状态</x:v>
      </x:c>
      <x:c r="C103" s="100" t="str">
        <x:v>complete</x:v>
      </x:c>
      <x:c r="D103" s="100" t="str">
        <x:v>已完成</x:v>
      </x:c>
      <x:c r="E103" s="100" t="str">
        <x:v>Complete</x:v>
      </x:c>
      <x:c r="F103" s="100" t="str">
        <x:v>任务达到退出标准并已验收</x:v>
      </x:c>
      <x:c r="G103" s="100" t="str"/>
      <x:c r="H103" s="100" t="str"/>
      <x:c r="I103" s="100" t="str">
        <x:v>true</x:v>
      </x:c>
      <x:c r="J103" s="100" t="str">
        <x:v>50</x:v>
      </x:c>
    </x:row>
    <x:row r="104" ht="32" customHeight="1">
      <x:c r="A104" s="100" t="str">
        <x:v>risk_status</x:v>
      </x:c>
      <x:c r="B104" s="100" t="str">
        <x:v>风险状态</x:v>
      </x:c>
      <x:c r="C104" s="100" t="str">
        <x:v>open</x:v>
      </x:c>
      <x:c r="D104" s="100" t="str">
        <x:v>开放</x:v>
      </x:c>
      <x:c r="E104" s="100" t="str">
        <x:v>Open</x:v>
      </x:c>
      <x:c r="F104" s="100" t="str">
        <x:v>风险已登记但尚未完成处置</x:v>
      </x:c>
      <x:c r="G104" s="100" t="str"/>
      <x:c r="H104" s="100" t="str"/>
      <x:c r="I104" s="100" t="str">
        <x:v>true</x:v>
      </x:c>
      <x:c r="J104" s="100" t="str">
        <x:v>10</x:v>
      </x:c>
    </x:row>
    <x:row r="105" ht="32" customHeight="1">
      <x:c r="A105" s="100" t="str">
        <x:v>risk_status</x:v>
      </x:c>
      <x:c r="B105" s="100" t="str">
        <x:v>风险状态</x:v>
      </x:c>
      <x:c r="C105" s="100" t="str">
        <x:v>mitigating</x:v>
      </x:c>
      <x:c r="D105" s="100" t="str">
        <x:v>缓解中</x:v>
      </x:c>
      <x:c r="E105" s="100" t="str">
        <x:v>Mitigating</x:v>
      </x:c>
      <x:c r="F105" s="100" t="str">
        <x:v>已启动预防或缓解动作</x:v>
      </x:c>
      <x:c r="G105" s="100" t="str"/>
      <x:c r="H105" s="100" t="str"/>
      <x:c r="I105" s="100" t="str">
        <x:v>true</x:v>
      </x:c>
      <x:c r="J105" s="100" t="str">
        <x:v>20</x:v>
      </x:c>
    </x:row>
    <x:row r="106" ht="32" customHeight="1">
      <x:c r="A106" s="100" t="str">
        <x:v>risk_status</x:v>
      </x:c>
      <x:c r="B106" s="100" t="str">
        <x:v>风险状态</x:v>
      </x:c>
      <x:c r="C106" s="100" t="str">
        <x:v>accepted</x:v>
      </x:c>
      <x:c r="D106" s="100" t="str">
        <x:v>已接受</x:v>
      </x:c>
      <x:c r="E106" s="100" t="str">
        <x:v>Accepted</x:v>
      </x:c>
      <x:c r="F106" s="100" t="str">
        <x:v>决策人知情并接受剩余风险</x:v>
      </x:c>
      <x:c r="G106" s="100" t="str"/>
      <x:c r="H106" s="100" t="str"/>
      <x:c r="I106" s="100" t="str">
        <x:v>true</x:v>
      </x:c>
      <x:c r="J106" s="100" t="str">
        <x:v>30</x:v>
      </x:c>
    </x:row>
    <x:row r="107" ht="32" customHeight="1">
      <x:c r="A107" s="100" t="str">
        <x:v>risk_status</x:v>
      </x:c>
      <x:c r="B107" s="100" t="str">
        <x:v>风险状态</x:v>
      </x:c>
      <x:c r="C107" s="100" t="str">
        <x:v>escalated</x:v>
      </x:c>
      <x:c r="D107" s="100" t="str">
        <x:v>已升级</x:v>
      </x:c>
      <x:c r="E107" s="100" t="str">
        <x:v>Escalated</x:v>
      </x:c>
      <x:c r="F107" s="100" t="str">
        <x:v>风险超出当前团队权限或阈值</x:v>
      </x:c>
      <x:c r="G107" s="100" t="str"/>
      <x:c r="H107" s="100" t="str"/>
      <x:c r="I107" s="100" t="str">
        <x:v>true</x:v>
      </x:c>
      <x:c r="J107" s="100" t="str">
        <x:v>40</x:v>
      </x:c>
    </x:row>
    <x:row r="108" ht="32" customHeight="1">
      <x:c r="A108" s="100" t="str">
        <x:v>risk_status</x:v>
      </x:c>
      <x:c r="B108" s="100" t="str">
        <x:v>风险状态</x:v>
      </x:c>
      <x:c r="C108" s="100" t="str">
        <x:v>closed</x:v>
      </x:c>
      <x:c r="D108" s="100" t="str">
        <x:v>已关闭</x:v>
      </x:c>
      <x:c r="E108" s="100" t="str">
        <x:v>Closed</x:v>
      </x:c>
      <x:c r="F108" s="100" t="str">
        <x:v>触发条件消失或措施已验证有效</x:v>
      </x:c>
      <x:c r="G108" s="100" t="str"/>
      <x:c r="H108" s="100" t="str"/>
      <x:c r="I108" s="100" t="str">
        <x:v>true</x:v>
      </x:c>
      <x:c r="J108" s="100" t="str">
        <x:v>50</x:v>
      </x:c>
    </x:row>
    <x:row r="109" ht="32" customHeight="1">
      <x:c r="A109" s="100" t="str">
        <x:v>decision_status</x:v>
      </x:c>
      <x:c r="B109" s="100" t="str">
        <x:v>决策状态</x:v>
      </x:c>
      <x:c r="C109" s="100" t="str">
        <x:v>proposed</x:v>
      </x:c>
      <x:c r="D109" s="100" t="str">
        <x:v>待决定</x:v>
      </x:c>
      <x:c r="E109" s="100" t="str">
        <x:v>Proposed</x:v>
      </x:c>
      <x:c r="F109" s="100" t="str">
        <x:v>决策方案已提出但未生效</x:v>
      </x:c>
      <x:c r="G109" s="100" t="str"/>
      <x:c r="H109" s="100" t="str"/>
      <x:c r="I109" s="100" t="str">
        <x:v>true</x:v>
      </x:c>
      <x:c r="J109" s="100" t="str">
        <x:v>10</x:v>
      </x:c>
    </x:row>
    <x:row r="110" ht="32" customHeight="1">
      <x:c r="A110" s="100" t="str">
        <x:v>decision_status</x:v>
      </x:c>
      <x:c r="B110" s="100" t="str">
        <x:v>决策状态</x:v>
      </x:c>
      <x:c r="C110" s="100" t="str">
        <x:v>decided</x:v>
      </x:c>
      <x:c r="D110" s="100" t="str">
        <x:v>已决定</x:v>
      </x:c>
      <x:c r="E110" s="100" t="str">
        <x:v>Decided</x:v>
      </x:c>
      <x:c r="F110" s="100" t="str">
        <x:v>授权决策人已作出并记录决定</x:v>
      </x:c>
      <x:c r="G110" s="100" t="str"/>
      <x:c r="H110" s="100" t="str"/>
      <x:c r="I110" s="100" t="str">
        <x:v>true</x:v>
      </x:c>
      <x:c r="J110" s="100" t="str">
        <x:v>20</x:v>
      </x:c>
    </x:row>
    <x:row r="111" ht="32" customHeight="1">
      <x:c r="A111" s="100" t="str">
        <x:v>decision_status</x:v>
      </x:c>
      <x:c r="B111" s="100" t="str">
        <x:v>决策状态</x:v>
      </x:c>
      <x:c r="C111" s="100" t="str">
        <x:v>superseded</x:v>
      </x:c>
      <x:c r="D111" s="100" t="str">
        <x:v>已取代</x:v>
      </x:c>
      <x:c r="E111" s="100" t="str">
        <x:v>Superseded</x:v>
      </x:c>
      <x:c r="F111" s="100" t="str">
        <x:v>该决定被后续决定正式替代</x:v>
      </x:c>
      <x:c r="G111" s="100" t="str"/>
      <x:c r="H111" s="100" t="str"/>
      <x:c r="I111" s="100" t="str">
        <x:v>true</x:v>
      </x:c>
      <x:c r="J111" s="100" t="str">
        <x:v>30</x:v>
      </x:c>
    </x:row>
    <x:row r="112" ht="32" customHeight="1">
      <x:c r="A112" s="100" t="str">
        <x:v>decision_status</x:v>
      </x:c>
      <x:c r="B112" s="100" t="str">
        <x:v>决策状态</x:v>
      </x:c>
      <x:c r="C112" s="100" t="str">
        <x:v>reopened</x:v>
      </x:c>
      <x:c r="D112" s="100" t="str">
        <x:v>已重开</x:v>
      </x:c>
      <x:c r="E112" s="100" t="str">
        <x:v>Reopened</x:v>
      </x:c>
      <x:c r="F112" s="100" t="str">
        <x:v>因触发条件变化而重新讨论</x:v>
      </x:c>
      <x:c r="G112" s="100" t="str"/>
      <x:c r="H112" s="100" t="str"/>
      <x:c r="I112" s="100" t="str">
        <x:v>true</x:v>
      </x:c>
      <x:c r="J112" s="100" t="str">
        <x:v>40</x:v>
      </x:c>
    </x:row>
    <x:row r="113" ht="32" customHeight="1">
      <x:c r="A113" s="100" t="str">
        <x:v>acquisition_method</x:v>
      </x:c>
      <x:c r="B113" s="100" t="str">
        <x:v>获取方式</x:v>
      </x:c>
      <x:c r="C113" s="100" t="str">
        <x:v>human_entry</x:v>
      </x:c>
      <x:c r="D113" s="100" t="str">
        <x:v>人工录入</x:v>
      </x:c>
      <x:c r="E113" s="100" t="str">
        <x:v>Human entry</x:v>
      </x:c>
      <x:c r="F113" s="100" t="str">
        <x:v>由编辑直接录入或整理</x:v>
      </x:c>
      <x:c r="G113" s="100" t="str"/>
      <x:c r="H113" s="100" t="str"/>
      <x:c r="I113" s="100" t="str">
        <x:v>true</x:v>
      </x:c>
      <x:c r="J113" s="100" t="str">
        <x:v>10</x:v>
      </x:c>
    </x:row>
    <x:row r="114" ht="32" customHeight="1">
      <x:c r="A114" s="100" t="str">
        <x:v>acquisition_method</x:v>
      </x:c>
      <x:c r="B114" s="100" t="str">
        <x:v>获取方式</x:v>
      </x:c>
      <x:c r="C114" s="100" t="str">
        <x:v>structured_import</x:v>
      </x:c>
      <x:c r="D114" s="100" t="str">
        <x:v>结构化导入</x:v>
      </x:c>
      <x:c r="E114" s="100" t="str">
        <x:v>Structured import</x:v>
      </x:c>
      <x:c r="F114" s="100" t="str">
        <x:v>从结构化文件或接口导入候选记录</x:v>
      </x:c>
      <x:c r="G114" s="100" t="str"/>
      <x:c r="H114" s="100" t="str"/>
      <x:c r="I114" s="100" t="str">
        <x:v>true</x:v>
      </x:c>
      <x:c r="J114" s="100" t="str">
        <x:v>20</x:v>
      </x:c>
    </x:row>
    <x:row r="115" ht="32" customHeight="1">
      <x:c r="A115" s="100" t="str">
        <x:v>acquisition_method</x:v>
      </x:c>
      <x:c r="B115" s="100" t="str">
        <x:v>获取方式</x:v>
      </x:c>
      <x:c r="C115" s="100" t="str">
        <x:v>rule_extraction</x:v>
      </x:c>
      <x:c r="D115" s="100" t="str">
        <x:v>规则抽取</x:v>
      </x:c>
      <x:c r="E115" s="100" t="str">
        <x:v>Rule extraction</x:v>
      </x:c>
      <x:c r="F115" s="100" t="str">
        <x:v>由确定性规则生成候选</x:v>
      </x:c>
      <x:c r="G115" s="100" t="str"/>
      <x:c r="H115" s="100" t="str"/>
      <x:c r="I115" s="100" t="str">
        <x:v>true</x:v>
      </x:c>
      <x:c r="J115" s="100" t="str">
        <x:v>30</x:v>
      </x:c>
    </x:row>
    <x:row r="116" ht="32" customHeight="1">
      <x:c r="A116" s="100" t="str">
        <x:v>acquisition_method</x:v>
      </x:c>
      <x:c r="B116" s="100" t="str">
        <x:v>获取方式</x:v>
      </x:c>
      <x:c r="C116" s="100" t="str">
        <x:v>ocr_extraction</x:v>
      </x:c>
      <x:c r="D116" s="100" t="str">
        <x:v>OCR 抽取</x:v>
      </x:c>
      <x:c r="E116" s="100" t="str">
        <x:v>OCR extraction</x:v>
      </x:c>
      <x:c r="F116" s="100" t="str">
        <x:v>由文字识别生成候选文本或字段</x:v>
      </x:c>
      <x:c r="G116" s="100" t="str"/>
      <x:c r="H116" s="100" t="str"/>
      <x:c r="I116" s="100" t="str">
        <x:v>true</x:v>
      </x:c>
      <x:c r="J116" s="100" t="str">
        <x:v>40</x:v>
      </x:c>
    </x:row>
    <x:row r="117" ht="32" customHeight="1">
      <x:c r="A117" s="100" t="str">
        <x:v>acquisition_method</x:v>
      </x:c>
      <x:c r="B117" s="100" t="str">
        <x:v>获取方式</x:v>
      </x:c>
      <x:c r="C117" s="100" t="str">
        <x:v>ner_extraction</x:v>
      </x:c>
      <x:c r="D117" s="100" t="str">
        <x:v>实体识别抽取</x:v>
      </x:c>
      <x:c r="E117" s="100" t="str">
        <x:v>NER extraction</x:v>
      </x:c>
      <x:c r="F117" s="100" t="str">
        <x:v>由实体识别模型生成候选实体或提及</x:v>
      </x:c>
      <x:c r="G117" s="100" t="str"/>
      <x:c r="H117" s="100" t="str"/>
      <x:c r="I117" s="100" t="str">
        <x:v>true</x:v>
      </x:c>
      <x:c r="J117" s="100" t="str">
        <x:v>50</x:v>
      </x:c>
    </x:row>
    <x:row r="118" ht="32" customHeight="1">
      <x:c r="A118" s="100" t="str">
        <x:v>acquisition_method</x:v>
      </x:c>
      <x:c r="B118" s="100" t="str">
        <x:v>获取方式</x:v>
      </x:c>
      <x:c r="C118" s="100" t="str">
        <x:v>llm_extraction</x:v>
      </x:c>
      <x:c r="D118" s="100" t="str">
        <x:v>大模型抽取</x:v>
      </x:c>
      <x:c r="E118" s="100" t="str">
        <x:v>LLM extraction</x:v>
      </x:c>
      <x:c r="F118" s="100" t="str">
        <x:v>由大模型生成候选但不得自动发布</x:v>
      </x:c>
      <x:c r="G118" s="100" t="str"/>
      <x:c r="H118" s="100" t="str"/>
      <x:c r="I118" s="100" t="str">
        <x:v>true</x:v>
      </x:c>
      <x:c r="J118" s="100" t="str">
        <x:v>60</x:v>
      </x:c>
    </x:row>
    <x:row r="119" ht="32" customHeight="1">
      <x:c r="A119" s="100" t="str">
        <x:v>assertion_kind</x:v>
      </x:c>
      <x:c r="B119" s="100" t="str">
        <x:v>主张类型</x:v>
      </x:c>
      <x:c r="C119" s="100" t="str">
        <x:v>entity_relation</x:v>
      </x:c>
      <x:c r="D119" s="100" t="str">
        <x:v>实体关系</x:v>
      </x:c>
      <x:c r="E119" s="100" t="str">
        <x:v>Entity relation</x:v>
      </x:c>
      <x:c r="F119" s="100" t="str">
        <x:v>机构隶属师生政治联盟作者等通用实体关系</x:v>
      </x:c>
      <x:c r="G119" s="100" t="str"/>
      <x:c r="H119" s="100" t="str"/>
      <x:c r="I119" s="100" t="str">
        <x:v>true</x:v>
      </x:c>
      <x:c r="J119" s="100" t="str">
        <x:v>10</x:v>
      </x:c>
    </x:row>
    <x:row r="120" ht="32" customHeight="1">
      <x:c r="A120" s="100" t="str">
        <x:v>assertion_kind</x:v>
      </x:c>
      <x:c r="B120" s="100" t="str">
        <x:v>主张类型</x:v>
      </x:c>
      <x:c r="C120" s="100" t="str">
        <x:v>literal_statement</x:v>
      </x:c>
      <x:c r="D120" s="100" t="str">
        <x:v>文字或数值陈述</x:v>
      </x:c>
      <x:c r="E120" s="100" t="str">
        <x:v>Literal statement</x:v>
      </x:c>
      <x:c r="F120" s="100" t="str">
        <x:v>以文字数值布尔时间或 URI 为值的主张</x:v>
      </x:c>
      <x:c r="G120" s="100" t="str"/>
      <x:c r="H120" s="100" t="str"/>
      <x:c r="I120" s="100" t="str">
        <x:v>true</x:v>
      </x:c>
      <x:c r="J120" s="100" t="str">
        <x:v>20</x:v>
      </x:c>
    </x:row>
    <x:row r="121" ht="32" customHeight="1">
      <x:c r="A121" s="100" t="str">
        <x:v>assertion_kind</x:v>
      </x:c>
      <x:c r="B121" s="100" t="str">
        <x:v>主张类型</x:v>
      </x:c>
      <x:c r="C121" s="100" t="str">
        <x:v>person_relationship</x:v>
      </x:c>
      <x:c r="D121" s="100" t="str">
        <x:v>人物关系</x:v>
      </x:c>
      <x:c r="E121" s="100" t="str">
        <x:v>Person relationship</x:v>
      </x:c>
      <x:c r="F121" s="100" t="str">
        <x:v>亲属婚姻抚育承嗣等人物间关系</x:v>
      </x:c>
      <x:c r="G121" s="100" t="str"/>
      <x:c r="H121" s="100" t="str"/>
      <x:c r="I121" s="100" t="str">
        <x:v>true</x:v>
      </x:c>
      <x:c r="J121" s="100" t="str">
        <x:v>30</x:v>
      </x:c>
    </x:row>
    <x:row r="122" ht="32" customHeight="1">
      <x:c r="A122" s="100" t="str">
        <x:v>assertion_kind</x:v>
      </x:c>
      <x:c r="B122" s="100" t="str">
        <x:v>主张类型</x:v>
      </x:c>
      <x:c r="C122" s="100" t="str">
        <x:v>title_assignment</x:v>
      </x:c>
      <x:c r="D122" s="100" t="str">
        <x:v>称号授予</x:v>
      </x:c>
      <x:c r="E122" s="100" t="str">
        <x:v>Title assignment</x:v>
      </x:c>
      <x:c r="F122" s="100" t="str">
        <x:v>人物在特定时间拥有称号爵位位号或官职</x:v>
      </x:c>
      <x:c r="G122" s="100" t="str"/>
      <x:c r="H122" s="100" t="str"/>
      <x:c r="I122" s="100" t="str">
        <x:v>true</x:v>
      </x:c>
      <x:c r="J122" s="100" t="str">
        <x:v>40</x:v>
      </x:c>
    </x:row>
    <x:row r="123" ht="32" customHeight="1">
      <x:c r="A123" s="100" t="str">
        <x:v>assertion_kind</x:v>
      </x:c>
      <x:c r="B123" s="100" t="str">
        <x:v>主张类型</x:v>
      </x:c>
      <x:c r="C123" s="100" t="str">
        <x:v>event_occurrence</x:v>
      </x:c>
      <x:c r="D123" s="100" t="str">
        <x:v>事件发生</x:v>
      </x:c>
      <x:c r="E123" s="100" t="str">
        <x:v>Event occurrence</x:v>
      </x:c>
      <x:c r="F123" s="100" t="str">
        <x:v>事件的时间地点与层级关系</x:v>
      </x:c>
      <x:c r="G123" s="100" t="str"/>
      <x:c r="H123" s="100" t="str"/>
      <x:c r="I123" s="100" t="str">
        <x:v>true</x:v>
      </x:c>
      <x:c r="J123" s="100" t="str">
        <x:v>50</x:v>
      </x:c>
    </x:row>
    <x:row r="124" ht="32" customHeight="1">
      <x:c r="A124" s="100" t="str">
        <x:v>assertion_kind</x:v>
      </x:c>
      <x:c r="B124" s="100" t="str">
        <x:v>主张类型</x:v>
      </x:c>
      <x:c r="C124" s="100" t="str">
        <x:v>event_participation</x:v>
      </x:c>
      <x:c r="D124" s="100" t="str">
        <x:v>事件参与</x:v>
      </x:c>
      <x:c r="E124" s="100" t="str">
        <x:v>Event participation</x:v>
      </x:c>
      <x:c r="F124" s="100" t="str">
        <x:v>实体以明确角色参与事件</x:v>
      </x:c>
      <x:c r="G124" s="100" t="str"/>
      <x:c r="H124" s="100" t="str"/>
      <x:c r="I124" s="100" t="str">
        <x:v>true</x:v>
      </x:c>
      <x:c r="J124" s="100" t="str">
        <x:v>60</x:v>
      </x:c>
    </x:row>
    <x:row r="125" ht="32" customHeight="1">
      <x:c r="A125" s="100" t="str">
        <x:v>assertion_kind</x:v>
      </x:c>
      <x:c r="B125" s="100" t="str">
        <x:v>主张类型</x:v>
      </x:c>
      <x:c r="C125" s="100" t="str">
        <x:v>depiction</x:v>
      </x:c>
      <x:c r="D125" s="100" t="str">
        <x:v>图像表现认定</x:v>
      </x:c>
      <x:c r="E125" s="100" t="str">
        <x:v>Depiction</x:v>
      </x:c>
      <x:c r="F125" s="100" t="str">
        <x:v>视觉作品或图像区域表现某人物或对象</x:v>
      </x:c>
      <x:c r="G125" s="100" t="str"/>
      <x:c r="H125" s="100" t="str"/>
      <x:c r="I125" s="100" t="str">
        <x:v>true</x:v>
      </x:c>
      <x:c r="J125" s="100" t="str">
        <x:v>70</x:v>
      </x:c>
    </x:row>
    <x:row r="126" ht="32" customHeight="1">
      <x:c r="A126" s="100" t="str">
        <x:v>verification_status</x:v>
      </x:c>
      <x:c r="B126" s="100" t="str">
        <x:v>证据核验状态</x:v>
      </x:c>
      <x:c r="C126" s="100" t="str">
        <x:v>unverified</x:v>
      </x:c>
      <x:c r="D126" s="100" t="str">
        <x:v>未核验</x:v>
      </x:c>
      <x:c r="E126" s="100" t="str">
        <x:v>Unverified</x:v>
      </x:c>
      <x:c r="F126" s="100" t="str">
        <x:v>证据项尚未核对到具体来源</x:v>
      </x:c>
      <x:c r="G126" s="100" t="str"/>
      <x:c r="H126" s="100" t="str"/>
      <x:c r="I126" s="100" t="str">
        <x:v>true</x:v>
      </x:c>
      <x:c r="J126" s="100" t="str">
        <x:v>10</x:v>
      </x:c>
    </x:row>
    <x:row r="127" ht="32" customHeight="1">
      <x:c r="A127" s="100" t="str">
        <x:v>verification_status</x:v>
      </x:c>
      <x:c r="B127" s="100" t="str">
        <x:v>证据核验状态</x:v>
      </x:c>
      <x:c r="C127" s="100" t="str">
        <x:v>locator_checked</x:v>
      </x:c>
      <x:c r="D127" s="100" t="str">
        <x:v>定位已核</x:v>
      </x:c>
      <x:c r="E127" s="100" t="str">
        <x:v>Locator checked</x:v>
      </x:c>
      <x:c r="F127" s="100" t="str">
        <x:v>卷页档号或图像区域已核对</x:v>
      </x:c>
      <x:c r="G127" s="100" t="str"/>
      <x:c r="H127" s="100" t="str"/>
      <x:c r="I127" s="100" t="str">
        <x:v>true</x:v>
      </x:c>
      <x:c r="J127" s="100" t="str">
        <x:v>20</x:v>
      </x:c>
    </x:row>
    <x:row r="128" ht="32" customHeight="1">
      <x:c r="A128" s="100" t="str">
        <x:v>verification_status</x:v>
      </x:c>
      <x:c r="B128" s="100" t="str">
        <x:v>证据核验状态</x:v>
      </x:c>
      <x:c r="C128" s="100" t="str">
        <x:v>quote_checked</x:v>
      </x:c>
      <x:c r="D128" s="100" t="str">
        <x:v>引文已核</x:v>
      </x:c>
      <x:c r="E128" s="100" t="str">
        <x:v>Quote checked</x:v>
      </x:c>
      <x:c r="F128" s="100" t="str">
        <x:v>引文与原件或可靠影像逐字核对</x:v>
      </x:c>
      <x:c r="G128" s="100" t="str"/>
      <x:c r="H128" s="100" t="str"/>
      <x:c r="I128" s="100" t="str">
        <x:v>true</x:v>
      </x:c>
      <x:c r="J128" s="100" t="str">
        <x:v>30</x:v>
      </x:c>
    </x:row>
    <x:row r="129" ht="32" customHeight="1">
      <x:c r="A129" s="100" t="str">
        <x:v>verification_status</x:v>
      </x:c>
      <x:c r="B129" s="100" t="str">
        <x:v>证据核验状态</x:v>
      </x:c>
      <x:c r="C129" s="100" t="str">
        <x:v>fully_verified</x:v>
      </x:c>
      <x:c r="D129" s="100" t="str">
        <x:v>完全核验</x:v>
      </x:c>
      <x:c r="E129" s="100" t="str">
        <x:v>Fully verified</x:v>
      </x:c>
      <x:c r="F129" s="100" t="str">
        <x:v>定位版本引文与主张支持关系均已复核</x:v>
      </x:c>
      <x:c r="G129" s="100" t="str"/>
      <x:c r="H129" s="100" t="str"/>
      <x:c r="I129" s="100" t="str">
        <x:v>true</x:v>
      </x:c>
      <x:c r="J129" s="100" t="str">
        <x:v>40</x:v>
      </x:c>
    </x:row>
    <x:row r="130" ht="32" customHeight="1">
      <x:c r="A130" s="100" t="str">
        <x:v>assertion_predicate</x:v>
      </x:c>
      <x:c r="B130" s="100" t="str">
        <x:v>主张谓词</x:v>
      </x:c>
      <x:c r="C130" s="100" t="str">
        <x:v>accession_occurred</x:v>
      </x:c>
      <x:c r="D130" s="100" t="str">
        <x:v>即位</x:v>
      </x:c>
      <x:c r="E130" s="100" t="str">
        <x:v>accession_occurred</x:v>
      </x:c>
      <x:c r="F130" s="100" t="str"/>
      <x:c r="G130" s="100" t="str"/>
      <x:c r="H130" s="100" t="str"/>
      <x:c r="I130" s="100" t="str">
        <x:v>true</x:v>
      </x:c>
      <x:c r="J130" s="100" t="str">
        <x:v>10</x:v>
      </x:c>
    </x:row>
    <x:row r="131" ht="32" customHeight="1">
      <x:c r="A131" s="100" t="str">
        <x:v>assertion_predicate</x:v>
      </x:c>
      <x:c r="B131" s="100" t="str">
        <x:v>主张谓词</x:v>
      </x:c>
      <x:c r="C131" s="100" t="str">
        <x:v>ritual_self_designation</x:v>
      </x:c>
      <x:c r="D131" s="100" t="str">
        <x:v>礼仪自称</x:v>
      </x:c>
      <x:c r="E131" s="100" t="str">
        <x:v>ritual_self_designation</x:v>
      </x:c>
      <x:c r="F131" s="100" t="str"/>
      <x:c r="G131" s="100" t="str"/>
      <x:c r="H131" s="100" t="str"/>
      <x:c r="I131" s="100" t="str">
        <x:v>true</x:v>
      </x:c>
      <x:c r="J131" s="100" t="str">
        <x:v>20</x:v>
      </x:c>
    </x:row>
    <x:row r="132" ht="32" customHeight="1">
      <x:c r="A132" s="100" t="str">
        <x:v>assertion_predicate</x:v>
      </x:c>
      <x:c r="B132" s="100" t="str">
        <x:v>主张谓词</x:v>
      </x:c>
      <x:c r="C132" s="100" t="str">
        <x:v>accession_justification</x:v>
      </x:c>
      <x:c r="D132" s="100" t="str">
        <x:v>即位理由</x:v>
      </x:c>
      <x:c r="E132" s="100" t="str">
        <x:v>accession_justification</x:v>
      </x:c>
      <x:c r="F132" s="100" t="str"/>
      <x:c r="G132" s="100" t="str"/>
      <x:c r="H132" s="100" t="str"/>
      <x:c r="I132" s="100" t="str">
        <x:v>true</x:v>
      </x:c>
      <x:c r="J132" s="100" t="str">
        <x:v>30</x:v>
      </x:c>
    </x:row>
    <x:row r="133" ht="32" customHeight="1">
      <x:c r="A133" s="100" t="str">
        <x:v>assertion_predicate</x:v>
      </x:c>
      <x:c r="B133" s="100" t="str">
        <x:v>主张谓词</x:v>
      </x:c>
      <x:c r="C133" s="100" t="str">
        <x:v>delegated_heaven_announcement</x:v>
      </x:c>
      <x:c r="D133" s="100" t="str">
        <x:v>遣官祭告昊天</x:v>
      </x:c>
      <x:c r="E133" s="100" t="str">
        <x:v>delegated_heaven_announcement</x:v>
      </x:c>
      <x:c r="F133" s="100" t="str"/>
      <x:c r="G133" s="100" t="str"/>
      <x:c r="H133" s="100" t="str"/>
      <x:c r="I133" s="100" t="str">
        <x:v>true</x:v>
      </x:c>
      <x:c r="J133" s="100" t="str">
        <x:v>40</x:v>
      </x:c>
    </x:row>
    <x:row r="134" ht="32" customHeight="1">
      <x:c r="A134" s="100" t="str">
        <x:v>assertion_predicate</x:v>
      </x:c>
      <x:c r="B134" s="100" t="str">
        <x:v>主张谓词</x:v>
      </x:c>
      <x:c r="C134" s="100" t="str">
        <x:v>delegated_earth_announcement</x:v>
      </x:c>
      <x:c r="D134" s="100" t="str">
        <x:v>遣官祭告地祇</x:v>
      </x:c>
      <x:c r="E134" s="100" t="str">
        <x:v>delegated_earth_announcement</x:v>
      </x:c>
      <x:c r="F134" s="100" t="str"/>
      <x:c r="G134" s="100" t="str"/>
      <x:c r="H134" s="100" t="str"/>
      <x:c r="I134" s="100" t="str">
        <x:v>true</x:v>
      </x:c>
      <x:c r="J134" s="100" t="str">
        <x:v>50</x:v>
      </x:c>
    </x:row>
    <x:row r="135" ht="32" customHeight="1">
      <x:c r="A135" s="100" t="str">
        <x:v>assertion_predicate</x:v>
      </x:c>
      <x:c r="B135" s="100" t="str">
        <x:v>主张谓词</x:v>
      </x:c>
      <x:c r="C135" s="100" t="str">
        <x:v>delegated_ancestral_temple_announcement</x:v>
      </x:c>
      <x:c r="D135" s="100" t="str">
        <x:v>遣官祭告太庙</x:v>
      </x:c>
      <x:c r="E135" s="100" t="str">
        <x:v>delegated_ancestral_temple_announcement</x:v>
      </x:c>
      <x:c r="F135" s="100" t="str"/>
      <x:c r="G135" s="100" t="str"/>
      <x:c r="H135" s="100" t="str"/>
      <x:c r="I135" s="100" t="str">
        <x:v>true</x:v>
      </x:c>
      <x:c r="J135" s="100" t="str">
        <x:v>60</x:v>
      </x:c>
    </x:row>
    <x:row r="136" ht="32" customHeight="1">
      <x:c r="A136" s="100" t="str">
        <x:v>assertion_predicate</x:v>
      </x:c>
      <x:c r="B136" s="100" t="str">
        <x:v>主张谓词</x:v>
      </x:c>
      <x:c r="C136" s="100" t="str">
        <x:v>delegated_altars_announcement</x:v>
      </x:c>
      <x:c r="D136" s="100" t="str">
        <x:v>遣官祭告社稷</x:v>
      </x:c>
      <x:c r="E136" s="100" t="str">
        <x:v>delegated_altars_announcement</x:v>
      </x:c>
      <x:c r="F136" s="100" t="str"/>
      <x:c r="G136" s="100" t="str"/>
      <x:c r="H136" s="100" t="str"/>
      <x:c r="I136" s="100" t="str">
        <x:v>true</x:v>
      </x:c>
      <x:c r="J136" s="100" t="str">
        <x:v>70</x:v>
      </x:c>
    </x:row>
    <x:row r="137" ht="32" customHeight="1">
      <x:c r="A137" s="100" t="str">
        <x:v>assertion_predicate</x:v>
      </x:c>
      <x:c r="B137" s="100" t="str">
        <x:v>主张谓词</x:v>
      </x:c>
      <x:c r="C137" s="100" t="str">
        <x:v>performed_mourning_ritual</x:v>
      </x:c>
      <x:c r="D137" s="100" t="str">
        <x:v>几筵行礼</x:v>
      </x:c>
      <x:c r="E137" s="100" t="str">
        <x:v>performed_mourning_ritual</x:v>
      </x:c>
      <x:c r="F137" s="100" t="str"/>
      <x:c r="G137" s="100" t="str"/>
      <x:c r="H137" s="100" t="str"/>
      <x:c r="I137" s="100" t="str">
        <x:v>true</x:v>
      </x:c>
      <x:c r="J137" s="100" t="str">
        <x:v>80</x:v>
      </x:c>
    </x:row>
    <x:row r="138" ht="32" customHeight="1">
      <x:c r="A138" s="100" t="str">
        <x:v>assertion_predicate</x:v>
      </x:c>
      <x:c r="B138" s="100" t="str">
        <x:v>主张谓词</x:v>
      </x:c>
      <x:c r="C138" s="100" t="str">
        <x:v>paid_respects_to_empress_dowager</x:v>
      </x:c>
      <x:c r="D138" s="100" t="str">
        <x:v>诣皇太后宫</x:v>
      </x:c>
      <x:c r="E138" s="100" t="str">
        <x:v>paid_respects_to_empress_dowager</x:v>
      </x:c>
      <x:c r="F138" s="100" t="str"/>
      <x:c r="G138" s="100" t="str"/>
      <x:c r="H138" s="100" t="str"/>
      <x:c r="I138" s="100" t="str">
        <x:v>true</x:v>
      </x:c>
      <x:c r="J138" s="100" t="str">
        <x:v>90</x:v>
      </x:c>
    </x:row>
    <x:row r="139" ht="32" customHeight="1">
      <x:c r="A139" s="100" t="str">
        <x:v>assertion_predicate</x:v>
      </x:c>
      <x:c r="B139" s="100" t="str">
        <x:v>主张谓词</x:v>
      </x:c>
      <x:c r="C139" s="100" t="str">
        <x:v>ascended_throne_at</x:v>
      </x:c>
      <x:c r="D139" s="100" t="str">
        <x:v>升座地点</x:v>
      </x:c>
      <x:c r="E139" s="100" t="str">
        <x:v>ascended_throne_at</x:v>
      </x:c>
      <x:c r="F139" s="100" t="str"/>
      <x:c r="G139" s="100" t="str"/>
      <x:c r="H139" s="100" t="str"/>
      <x:c r="I139" s="100" t="str">
        <x:v>true</x:v>
      </x:c>
      <x:c r="J139" s="100" t="str">
        <x:v>100</x:v>
      </x:c>
    </x:row>
    <x:row r="140" ht="32" customHeight="1">
      <x:c r="A140" s="100" t="str">
        <x:v>assertion_predicate</x:v>
      </x:c>
      <x:c r="B140" s="100" t="str">
        <x:v>主张谓词</x:v>
      </x:c>
      <x:c r="C140" s="100" t="str">
        <x:v>ceremonial_music_status</x:v>
      </x:c>
      <x:c r="D140" s="100" t="str">
        <x:v>中和乐状态</x:v>
      </x:c>
      <x:c r="E140" s="100" t="str">
        <x:v>ceremonial_music_status</x:v>
      </x:c>
      <x:c r="F140" s="100" t="str"/>
      <x:c r="G140" s="100" t="str"/>
      <x:c r="H140" s="100" t="str"/>
      <x:c r="I140" s="100" t="str">
        <x:v>true</x:v>
      </x:c>
      <x:c r="J140" s="100" t="str">
        <x:v>110</x:v>
      </x:c>
    </x:row>
    <x:row r="141" ht="32" customHeight="1">
      <x:c r="A141" s="100" t="str">
        <x:v>assertion_predicate</x:v>
      </x:c>
      <x:c r="B141" s="100" t="str">
        <x:v>主张谓词</x:v>
      </x:c>
      <x:c r="C141" s="100" t="str">
        <x:v>waived_congratulatory_memorial</x:v>
      </x:c>
      <x:c r="D141" s="100" t="str">
        <x:v>免宣贺表</x:v>
      </x:c>
      <x:c r="E141" s="100" t="str">
        <x:v>waived_congratulatory_memorial</x:v>
      </x:c>
      <x:c r="F141" s="100" t="str"/>
      <x:c r="G141" s="100" t="str"/>
      <x:c r="H141" s="100" t="str"/>
      <x:c r="I141" s="100" t="str">
        <x:v>true</x:v>
      </x:c>
      <x:c r="J141" s="100" t="str">
        <x:v>120</x:v>
      </x:c>
    </x:row>
    <x:row r="142" ht="32" customHeight="1">
      <x:c r="A142" s="100" t="str">
        <x:v>assertion_predicate</x:v>
      </x:c>
      <x:c r="B142" s="100" t="str">
        <x:v>主张谓词</x:v>
      </x:c>
      <x:c r="C142" s="100" t="str">
        <x:v>issued_general_amnesty</x:v>
      </x:c>
      <x:c r="D142" s="100" t="str">
        <x:v>颁诏大赦</x:v>
      </x:c>
      <x:c r="E142" s="100" t="str">
        <x:v>issued_general_amnesty</x:v>
      </x:c>
      <x:c r="F142" s="100" t="str"/>
      <x:c r="G142" s="100" t="str"/>
      <x:c r="H142" s="100" t="str"/>
      <x:c r="I142" s="100" t="str">
        <x:v>true</x:v>
      </x:c>
      <x:c r="J142" s="100" t="str">
        <x:v>130</x:v>
      </x:c>
    </x:row>
    <x:row r="143" ht="32" customHeight="1">
      <x:c r="A143" s="100" t="str">
        <x:v>assertion_predicate</x:v>
      </x:c>
      <x:c r="B143" s="100" t="str">
        <x:v>主张谓词</x:v>
      </x:c>
      <x:c r="C143" s="100" t="str">
        <x:v>announced_next_reign_era</x:v>
      </x:c>
      <x:c r="D143" s="100" t="str">
        <x:v>宣布次年年号</x:v>
      </x:c>
      <x:c r="E143" s="100" t="str">
        <x:v>announced_next_reign_era</x:v>
      </x:c>
      <x:c r="F143" s="100" t="str"/>
      <x:c r="G143" s="100" t="str"/>
      <x:c r="H143" s="100" t="str"/>
      <x:c r="I143" s="100" t="str">
        <x:v>true</x:v>
      </x:c>
      <x:c r="J143" s="100" t="str">
        <x:v>140</x:v>
      </x:c>
    </x:row>
    <x:row r="144" ht="32" customHeight="1">
      <x:c r="A144" s="100" t="str">
        <x:v>assertion_predicate</x:v>
      </x:c>
      <x:c r="B144" s="100" t="str">
        <x:v>主张谓词</x:v>
      </x:c>
      <x:c r="C144" s="100" t="str">
        <x:v>testament_self_reported_reign_length</x:v>
      </x:c>
      <x:c r="D144" s="100" t="str">
        <x:v>遗诏自述在位年数</x:v>
      </x:c>
      <x:c r="E144" s="100" t="str">
        <x:v>testament_self_reported_reign_length</x:v>
      </x:c>
      <x:c r="F144" s="100" t="str"/>
      <x:c r="G144" s="100" t="str"/>
      <x:c r="H144" s="100" t="str"/>
      <x:c r="I144" s="100" t="str">
        <x:v>true</x:v>
      </x:c>
      <x:c r="J144" s="100" t="str">
        <x:v>150</x:v>
      </x:c>
    </x:row>
    <x:row r="145" ht="32" customHeight="1">
      <x:c r="A145" s="100" t="str">
        <x:v>assertion_predicate</x:v>
      </x:c>
      <x:c r="B145" s="100" t="str">
        <x:v>主张谓词</x:v>
      </x:c>
      <x:c r="C145" s="100" t="str">
        <x:v>testament_self_reported_age</x:v>
      </x:c>
      <x:c r="D145" s="100" t="str">
        <x:v>遗诏自述年龄</x:v>
      </x:c>
      <x:c r="E145" s="100" t="str">
        <x:v>testament_self_reported_age</x:v>
      </x:c>
      <x:c r="F145" s="100" t="str"/>
      <x:c r="G145" s="100" t="str"/>
      <x:c r="H145" s="100" t="str"/>
      <x:c r="I145" s="100" t="str">
        <x:v>true</x:v>
      </x:c>
      <x:c r="J145" s="100" t="str">
        <x:v>160</x:v>
      </x:c>
    </x:row>
    <x:row r="146" ht="32" customHeight="1">
      <x:c r="A146" s="100" t="str">
        <x:v>assertion_predicate</x:v>
      </x:c>
      <x:c r="B146" s="100" t="str">
        <x:v>主张谓词</x:v>
      </x:c>
      <x:c r="C146" s="100" t="str">
        <x:v>testament_descendant_count</x:v>
      </x:c>
      <x:c r="D146" s="100" t="str">
        <x:v>遗诏自报子孙数</x:v>
      </x:c>
      <x:c r="E146" s="100" t="str">
        <x:v>testament_descendant_count</x:v>
      </x:c>
      <x:c r="F146" s="100" t="str"/>
      <x:c r="G146" s="100" t="str"/>
      <x:c r="H146" s="100" t="str"/>
      <x:c r="I146" s="100" t="str">
        <x:v>true</x:v>
      </x:c>
      <x:c r="J146" s="100" t="str">
        <x:v>170</x:v>
      </x:c>
    </x:row>
    <x:row r="147" ht="32" customHeight="1">
      <x:c r="A147" s="100" t="str">
        <x:v>assertion_predicate</x:v>
      </x:c>
      <x:c r="B147" s="100" t="str">
        <x:v>主张谓词</x:v>
      </x:c>
      <x:c r="C147" s="100" t="str">
        <x:v>testament_self_reported_learning</x:v>
      </x:c>
      <x:c r="D147" s="100" t="str">
        <x:v>遗诏自述读书</x:v>
      </x:c>
      <x:c r="E147" s="100" t="str">
        <x:v>testament_self_reported_learning</x:v>
      </x:c>
      <x:c r="F147" s="100" t="str"/>
      <x:c r="G147" s="100" t="str"/>
      <x:c r="H147" s="100" t="str"/>
      <x:c r="I147" s="100" t="str">
        <x:v>true</x:v>
      </x:c>
      <x:c r="J147" s="100" t="str">
        <x:v>180</x:v>
      </x:c>
    </x:row>
    <x:row r="148" ht="32" customHeight="1">
      <x:c r="A148" s="100" t="str">
        <x:v>assertion_predicate</x:v>
      </x:c>
      <x:c r="B148" s="100" t="str">
        <x:v>主张谓词</x:v>
      </x:c>
      <x:c r="C148" s="100" t="str">
        <x:v>testament_self_reported_archery</x:v>
      </x:c>
      <x:c r="D148" s="100" t="str">
        <x:v>遗诏自述骑射</x:v>
      </x:c>
      <x:c r="E148" s="100" t="str">
        <x:v>testament_self_reported_archery</x:v>
      </x:c>
      <x:c r="F148" s="100" t="str"/>
      <x:c r="G148" s="100" t="str"/>
      <x:c r="H148" s="100" t="str"/>
      <x:c r="I148" s="100" t="str">
        <x:v>true</x:v>
      </x:c>
      <x:c r="J148" s="100" t="str">
        <x:v>190</x:v>
      </x:c>
    </x:row>
    <x:row r="149" ht="32" customHeight="1">
      <x:c r="A149" s="100" t="str">
        <x:v>assertion_predicate</x:v>
      </x:c>
      <x:c r="B149" s="100" t="str">
        <x:v>主张谓词</x:v>
      </x:c>
      <x:c r="C149" s="100" t="str">
        <x:v>testament_claimed_military_planning</x:v>
      </x:c>
      <x:c r="D149" s="100" t="str">
        <x:v>遗诏军事自评</x:v>
      </x:c>
      <x:c r="E149" s="100" t="str">
        <x:v>testament_claimed_military_planning</x:v>
      </x:c>
      <x:c r="F149" s="100" t="str"/>
      <x:c r="G149" s="100" t="str"/>
      <x:c r="H149" s="100" t="str"/>
      <x:c r="I149" s="100" t="str">
        <x:v>true</x:v>
      </x:c>
      <x:c r="J149" s="100" t="str">
        <x:v>200</x:v>
      </x:c>
    </x:row>
    <x:row r="150" ht="32" customHeight="1">
      <x:c r="A150" s="100" t="str">
        <x:v>assertion_predicate</x:v>
      </x:c>
      <x:c r="B150" s="100" t="str">
        <x:v>主张谓词</x:v>
      </x:c>
      <x:c r="C150" s="100" t="str">
        <x:v>testament_claimed_treasury_rule</x:v>
      </x:c>
      <x:c r="D150" s="100" t="str">
        <x:v>遗诏财政自评</x:v>
      </x:c>
      <x:c r="E150" s="100" t="str">
        <x:v>testament_claimed_treasury_rule</x:v>
      </x:c>
      <x:c r="F150" s="100" t="str"/>
      <x:c r="G150" s="100" t="str"/>
      <x:c r="H150" s="100" t="str"/>
      <x:c r="I150" s="100" t="str">
        <x:v>true</x:v>
      </x:c>
      <x:c r="J150" s="100" t="str">
        <x:v>210</x:v>
      </x:c>
    </x:row>
    <x:row r="151" ht="32" customHeight="1">
      <x:c r="A151" s="100" t="str">
        <x:v>assertion_predicate</x:v>
      </x:c>
      <x:c r="B151" s="100" t="str">
        <x:v>主张谓词</x:v>
      </x:c>
      <x:c r="C151" s="100" t="str">
        <x:v>testament_claimed_palace_decoration</x:v>
      </x:c>
      <x:c r="D151" s="100" t="str">
        <x:v>遗诏行宫叙事</x:v>
      </x:c>
      <x:c r="E151" s="100" t="str">
        <x:v>testament_claimed_palace_decoration</x:v>
      </x:c>
      <x:c r="F151" s="100" t="str"/>
      <x:c r="G151" s="100" t="str"/>
      <x:c r="H151" s="100" t="str"/>
      <x:c r="I151" s="100" t="str">
        <x:v>true</x:v>
      </x:c>
      <x:c r="J151" s="100" t="str">
        <x:v>220</x:v>
      </x:c>
    </x:row>
    <x:row r="152" ht="32" customHeight="1">
      <x:c r="A152" s="100" t="str">
        <x:v>assertion_predicate</x:v>
      </x:c>
      <x:c r="B152" s="100" t="str">
        <x:v>主张谓词</x:v>
      </x:c>
      <x:c r="C152" s="100" t="str">
        <x:v>testament_claimed_palace_annual_cost</x:v>
      </x:c>
      <x:c r="D152" s="100" t="str">
        <x:v>遗诏宫费自报</x:v>
      </x:c>
      <x:c r="E152" s="100" t="str">
        <x:v>testament_claimed_palace_annual_cost</x:v>
      </x:c>
      <x:c r="F152" s="100" t="str"/>
      <x:c r="G152" s="100" t="str"/>
      <x:c r="H152" s="100" t="str"/>
      <x:c r="I152" s="100" t="str">
        <x:v>true</x:v>
      </x:c>
      <x:c r="J152" s="100" t="str">
        <x:v>230</x:v>
      </x:c>
    </x:row>
    <x:row r="153" ht="32" customHeight="1">
      <x:c r="A153" s="100" t="str">
        <x:v>assertion_predicate</x:v>
      </x:c>
      <x:c r="B153" s="100" t="str">
        <x:v>主张谓词</x:v>
      </x:c>
      <x:c r="C153" s="100" t="str">
        <x:v>testament_claimed_riverworks_annual_cost</x:v>
      </x:c>
      <x:c r="D153" s="100" t="str">
        <x:v>遗诏河工自报</x:v>
      </x:c>
      <x:c r="E153" s="100" t="str">
        <x:v>testament_claimed_riverworks_annual_cost</x:v>
      </x:c>
      <x:c r="F153" s="100" t="str"/>
      <x:c r="G153" s="100" t="str"/>
      <x:c r="H153" s="100" t="str"/>
      <x:c r="I153" s="100" t="str">
        <x:v>true</x:v>
      </x:c>
      <x:c r="J153" s="100" t="str">
        <x:v>240</x:v>
      </x:c>
    </x:row>
    <x:row r="154" ht="32" customHeight="1">
      <x:c r="A154" s="100" t="str">
        <x:v>assertion_predicate</x:v>
      </x:c>
      <x:c r="B154" s="100" t="str">
        <x:v>主张谓词</x:v>
      </x:c>
      <x:c r="C154" s="100" t="str">
        <x:v>testament_requested_clan_protection</x:v>
      </x:c>
      <x:c r="D154" s="100" t="str">
        <x:v>遗诏宗室保全</x:v>
      </x:c>
      <x:c r="E154" s="100" t="str">
        <x:v>testament_requested_clan_protection</x:v>
      </x:c>
      <x:c r="F154" s="100" t="str"/>
      <x:c r="G154" s="100" t="str"/>
      <x:c r="H154" s="100" t="str"/>
      <x:c r="I154" s="100" t="str">
        <x:v>true</x:v>
      </x:c>
      <x:c r="J154" s="100" t="str">
        <x:v>250</x:v>
      </x:c>
    </x:row>
    <x:row r="155" ht="32" customHeight="1">
      <x:c r="A155" s="100" t="str">
        <x:v>assertion_predicate</x:v>
      </x:c>
      <x:c r="B155" s="100" t="str">
        <x:v>主张谓词</x:v>
      </x:c>
      <x:c r="C155" s="100" t="str">
        <x:v>testament_identified_yinzhen</x:v>
      </x:c>
      <x:c r="D155" s="100" t="str">
        <x:v>遗诏点名胤禛</x:v>
      </x:c>
      <x:c r="E155" s="100" t="str">
        <x:v>testament_identified_yinzhen</x:v>
      </x:c>
      <x:c r="F155" s="100" t="str"/>
      <x:c r="G155" s="100" t="str"/>
      <x:c r="H155" s="100" t="str"/>
      <x:c r="I155" s="100" t="str">
        <x:v>true</x:v>
      </x:c>
      <x:c r="J155" s="100" t="str">
        <x:v>260</x:v>
      </x:c>
    </x:row>
    <x:row r="156" ht="32" customHeight="1">
      <x:c r="A156" s="100" t="str">
        <x:v>assertion_predicate</x:v>
      </x:c>
      <x:c r="B156" s="100" t="str">
        <x:v>主张谓词</x:v>
      </x:c>
      <x:c r="C156" s="100" t="str">
        <x:v>testament_evaluated_yinzhen</x:v>
      </x:c>
      <x:c r="D156" s="100" t="str">
        <x:v>遗诏评价胤禛</x:v>
      </x:c>
      <x:c r="E156" s="100" t="str">
        <x:v>testament_evaluated_yinzhen</x:v>
      </x:c>
      <x:c r="F156" s="100" t="str"/>
      <x:c r="G156" s="100" t="str"/>
      <x:c r="H156" s="100" t="str"/>
      <x:c r="I156" s="100" t="str">
        <x:v>true</x:v>
      </x:c>
      <x:c r="J156" s="100" t="str">
        <x:v>270</x:v>
      </x:c>
    </x:row>
    <x:row r="157" ht="32" customHeight="1">
      <x:c r="A157" s="100" t="str">
        <x:v>assertion_predicate</x:v>
      </x:c>
      <x:c r="B157" s="100" t="str">
        <x:v>主张谓词</x:v>
      </x:c>
      <x:c r="C157" s="100" t="str">
        <x:v>designated_successor</x:v>
      </x:c>
      <x:c r="D157" s="100" t="str">
        <x:v>指定继承人</x:v>
      </x:c>
      <x:c r="E157" s="100" t="str">
        <x:v>designated_successor</x:v>
      </x:c>
      <x:c r="F157" s="100" t="str"/>
      <x:c r="G157" s="100" t="str"/>
      <x:c r="H157" s="100" t="str"/>
      <x:c r="I157" s="100" t="str">
        <x:v>true</x:v>
      </x:c>
      <x:c r="J157" s="100" t="str">
        <x:v>280</x:v>
      </x:c>
    </x:row>
    <x:row r="158" ht="32" customHeight="1">
      <x:c r="A158" s="100" t="str">
        <x:v>assertion_predicate</x:v>
      </x:c>
      <x:c r="B158" s="100" t="str">
        <x:v>主张谓词</x:v>
      </x:c>
      <x:c r="C158" s="100" t="str">
        <x:v>illness_became_critical</x:v>
      </x:c>
      <x:c r="D158" s="100" t="str">
        <x:v>疾大渐</x:v>
      </x:c>
      <x:c r="E158" s="100" t="str">
        <x:v>illness_became_critical</x:v>
      </x:c>
      <x:c r="F158" s="100" t="str"/>
      <x:c r="G158" s="100" t="str"/>
      <x:c r="H158" s="100" t="str"/>
      <x:c r="I158" s="100" t="str">
        <x:v>true</x:v>
      </x:c>
      <x:c r="J158" s="100" t="str">
        <x:v>290</x:v>
      </x:c>
    </x:row>
    <x:row r="159" ht="32" customHeight="1">
      <x:c r="A159" s="100" t="str">
        <x:v>assertion_predicate</x:v>
      </x:c>
      <x:c r="B159" s="100" t="str">
        <x:v>主张谓词</x:v>
      </x:c>
      <x:c r="C159" s="100" t="str">
        <x:v>summoned_yinzhen_from_zhai</x:v>
      </x:c>
      <x:c r="D159" s="100" t="str">
        <x:v>召胤禛于斋所</x:v>
      </x:c>
      <x:c r="E159" s="100" t="str">
        <x:v>summoned_yinzhen_from_zhai</x:v>
      </x:c>
      <x:c r="F159" s="100" t="str"/>
      <x:c r="G159" s="100" t="str"/>
      <x:c r="H159" s="100" t="str"/>
      <x:c r="I159" s="100" t="str">
        <x:v>true</x:v>
      </x:c>
      <x:c r="J159" s="100" t="str">
        <x:v>300</x:v>
      </x:c>
    </x:row>
    <x:row r="160" ht="32" customHeight="1">
      <x:c r="A160" s="100" t="str">
        <x:v>assertion_predicate</x:v>
      </x:c>
      <x:c r="B160" s="100" t="str">
        <x:v>主张谓词</x:v>
      </x:c>
      <x:c r="C160" s="100" t="str">
        <x:v>delegated_suburban_sacrifice</x:v>
      </x:c>
      <x:c r="D160" s="100" t="str">
        <x:v>派员恭代南郊</x:v>
      </x:c>
      <x:c r="E160" s="100" t="str">
        <x:v>delegated_suburban_sacrifice</x:v>
      </x:c>
      <x:c r="F160" s="100" t="str"/>
      <x:c r="G160" s="100" t="str"/>
      <x:c r="H160" s="100" t="str"/>
      <x:c r="I160" s="100" t="str">
        <x:v>true</x:v>
      </x:c>
      <x:c r="J160" s="100" t="str">
        <x:v>310</x:v>
      </x:c>
    </x:row>
    <x:row r="161" ht="32" customHeight="1">
      <x:c r="A161" s="100" t="str">
        <x:v>assertion_predicate</x:v>
      </x:c>
      <x:c r="B161" s="100" t="str">
        <x:v>主张谓词</x:v>
      </x:c>
      <x:c r="C161" s="100" t="str">
        <x:v>summoned_to_bedside</x:v>
      </x:c>
      <x:c r="D161" s="100" t="str">
        <x:v>召至御榻前</x:v>
      </x:c>
      <x:c r="E161" s="100" t="str">
        <x:v>summoned_to_bedside</x:v>
      </x:c>
      <x:c r="F161" s="100" t="str"/>
      <x:c r="G161" s="100" t="str"/>
      <x:c r="H161" s="100" t="str"/>
      <x:c r="I161" s="100" t="str">
        <x:v>true</x:v>
      </x:c>
      <x:c r="J161" s="100" t="str">
        <x:v>320</x:v>
      </x:c>
    </x:row>
    <x:row r="162" ht="32" customHeight="1">
      <x:c r="A162" s="100" t="str">
        <x:v>assertion_predicate</x:v>
      </x:c>
      <x:c r="B162" s="100" t="str">
        <x:v>主张谓词</x:v>
      </x:c>
      <x:c r="C162" s="100" t="str">
        <x:v>oral_designated_successor</x:v>
      </x:c>
      <x:c r="D162" s="100" t="str">
        <x:v>御榻口谕指定继承人</x:v>
      </x:c>
      <x:c r="E162" s="100" t="str">
        <x:v>oral_designated_successor</x:v>
      </x:c>
      <x:c r="F162" s="100" t="str"/>
      <x:c r="G162" s="100" t="str"/>
      <x:c r="H162" s="100" t="str"/>
      <x:c r="I162" s="100" t="str">
        <x:v>true</x:v>
      </x:c>
      <x:c r="J162" s="100" t="str">
        <x:v>330</x:v>
      </x:c>
    </x:row>
    <x:row r="163" ht="32" customHeight="1">
      <x:c r="A163" s="100" t="str">
        <x:v>assertion_predicate</x:v>
      </x:c>
      <x:c r="B163" s="100" t="str">
        <x:v>主张谓词</x:v>
      </x:c>
      <x:c r="C163" s="100" t="str">
        <x:v>arrived_at_sleeping_palace</x:v>
      </x:c>
      <x:c r="D163" s="100" t="str">
        <x:v>趋进寝宫</x:v>
      </x:c>
      <x:c r="E163" s="100" t="str">
        <x:v>arrived_at_sleeping_palace</x:v>
      </x:c>
      <x:c r="F163" s="100" t="str"/>
      <x:c r="G163" s="100" t="str"/>
      <x:c r="H163" s="100" t="str"/>
      <x:c r="I163" s="100" t="str">
        <x:v>true</x:v>
      </x:c>
      <x:c r="J163" s="100" t="str">
        <x:v>340</x:v>
      </x:c>
    </x:row>
    <x:row r="164" ht="32" customHeight="1">
      <x:c r="A164" s="100" t="str">
        <x:v>assertion_predicate</x:v>
      </x:c>
      <x:c r="B164" s="100" t="str">
        <x:v>主张谓词</x:v>
      </x:c>
      <x:c r="C164" s="100" t="str">
        <x:v>explained_worsening_illness</x:v>
      </x:c>
      <x:c r="D164" s="100" t="str">
        <x:v>告以病势日臻</x:v>
      </x:c>
      <x:c r="E164" s="100" t="str">
        <x:v>explained_worsening_illness</x:v>
      </x:c>
      <x:c r="F164" s="100" t="str"/>
      <x:c r="G164" s="100" t="str"/>
      <x:c r="H164" s="100" t="str"/>
      <x:c r="I164" s="100" t="str">
        <x:v>true</x:v>
      </x:c>
      <x:c r="J164" s="100" t="str">
        <x:v>350</x:v>
      </x:c>
    </x:row>
    <x:row r="165" ht="32" customHeight="1">
      <x:c r="A165" s="100" t="str">
        <x:v>assertion_predicate</x:v>
      </x:c>
      <x:c r="B165" s="100" t="str">
        <x:v>主张谓词</x:v>
      </x:c>
      <x:c r="C165" s="100" t="str">
        <x:v>visited_to_ask_after_health</x:v>
      </x:c>
      <x:c r="D165" s="100" t="str">
        <x:v>进见问安</x:v>
      </x:c>
      <x:c r="E165" s="100" t="str">
        <x:v>visited_to_ask_after_health</x:v>
      </x:c>
      <x:c r="F165" s="100" t="str"/>
      <x:c r="G165" s="100" t="str"/>
      <x:c r="H165" s="100" t="str"/>
      <x:c r="I165" s="100" t="str">
        <x:v>true</x:v>
      </x:c>
      <x:c r="J165" s="100" t="str">
        <x:v>360</x:v>
      </x:c>
    </x:row>
    <x:row r="166" ht="32" customHeight="1">
      <x:c r="A166" s="100" t="str">
        <x:v>assertion_predicate</x:v>
      </x:c>
      <x:c r="B166" s="100" t="str">
        <x:v>主张谓词</x:v>
      </x:c>
      <x:c r="C166" s="100" t="str">
        <x:v>died_at</x:v>
      </x:c>
      <x:c r="D166" s="100" t="str">
        <x:v>崩逝地点与时刻</x:v>
      </x:c>
      <x:c r="E166" s="100" t="str">
        <x:v>died_at</x:v>
      </x:c>
      <x:c r="F166" s="100" t="str"/>
      <x:c r="G166" s="100" t="str"/>
      <x:c r="H166" s="100" t="str"/>
      <x:c r="I166" s="100" t="str">
        <x:v>true</x:v>
      </x:c>
      <x:c r="J166" s="100" t="str">
        <x:v>370</x:v>
      </x:c>
    </x:row>
    <x:row r="167" ht="32" customHeight="1">
      <x:c r="A167" s="100" t="str">
        <x:v>assertion_predicate</x:v>
      </x:c>
      <x:c r="B167" s="100" t="str">
        <x:v>主张谓词</x:v>
      </x:c>
      <x:c r="C167" s="100" t="str">
        <x:v>present_at_bedside</x:v>
      </x:c>
      <x:c r="D167" s="100" t="str">
        <x:v>御榻前在场</x:v>
      </x:c>
      <x:c r="E167" s="100" t="str">
        <x:v>present_at_bedside</x:v>
      </x:c>
      <x:c r="F167" s="100" t="str"/>
      <x:c r="G167" s="100" t="str"/>
      <x:c r="H167" s="100" t="str"/>
      <x:c r="I167" s="100" t="str">
        <x:v>true</x:v>
      </x:c>
      <x:c r="J167" s="100" t="str">
        <x:v>380</x:v>
      </x:c>
    </x:row>
    <x:row r="168" ht="32" customHeight="1">
      <x:c r="A168" s="100" t="str">
        <x:v>assertion_predicate</x:v>
      </x:c>
      <x:c r="B168" s="100" t="str">
        <x:v>主张谓词</x:v>
      </x:c>
      <x:c r="C168" s="100" t="str">
        <x:v>invested_as_empress</x:v>
      </x:c>
      <x:c r="D168" s="100" t="str">
        <x:v>册为皇后</x:v>
      </x:c>
      <x:c r="E168" s="100" t="str">
        <x:v>invested_as_empress</x:v>
      </x:c>
      <x:c r="F168" s="100" t="str"/>
      <x:c r="G168" s="100" t="str"/>
      <x:c r="H168" s="100" t="str"/>
      <x:c r="I168" s="100" t="str">
        <x:v>true</x:v>
      </x:c>
      <x:c r="J168" s="100" t="str">
        <x:v>390</x:v>
      </x:c>
    </x:row>
    <x:row r="169" ht="32" customHeight="1">
      <x:c r="A169" s="100" t="str">
        <x:v>assertion_predicate</x:v>
      </x:c>
      <x:c r="B169" s="100" t="str">
        <x:v>主张谓词</x:v>
      </x:c>
      <x:c r="C169" s="100" t="str">
        <x:v>invested_as_consort</x:v>
      </x:c>
      <x:c r="D169" s="100" t="str">
        <x:v>册为妃嫔</x:v>
      </x:c>
      <x:c r="E169" s="100" t="str">
        <x:v>invested_as_consort</x:v>
      </x:c>
      <x:c r="F169" s="100" t="str"/>
      <x:c r="G169" s="100" t="str"/>
      <x:c r="H169" s="100" t="str"/>
      <x:c r="I169" s="100" t="str">
        <x:v>true</x:v>
      </x:c>
      <x:c r="J169" s="100" t="str">
        <x:v>400</x:v>
      </x:c>
    </x:row>
    <x:row r="170" ht="32" customHeight="1">
      <x:c r="A170" s="100" t="str">
        <x:v>assertion_predicate</x:v>
      </x:c>
      <x:c r="B170" s="100" t="str">
        <x:v>主张谓词</x:v>
      </x:c>
      <x:c r="C170" s="100" t="str">
        <x:v>gave_birth_to</x:v>
      </x:c>
      <x:c r="D170" s="100" t="str">
        <x:v>生育</x:v>
      </x:c>
      <x:c r="E170" s="100" t="str">
        <x:v>gave_birth_to</x:v>
      </x:c>
      <x:c r="F170" s="100" t="str"/>
      <x:c r="G170" s="100" t="str"/>
      <x:c r="H170" s="100" t="str"/>
      <x:c r="I170" s="100" t="str">
        <x:v>true</x:v>
      </x:c>
      <x:c r="J170" s="100" t="str">
        <x:v>410</x:v>
      </x:c>
    </x:row>
    <x:row r="171" ht="32" customHeight="1">
      <x:c r="A171" s="100" t="str">
        <x:v>assertion_predicate</x:v>
      </x:c>
      <x:c r="B171" s="100" t="str">
        <x:v>主张谓词</x:v>
      </x:c>
      <x:c r="C171" s="100" t="str">
        <x:v>died_on</x:v>
      </x:c>
      <x:c r="D171" s="100" t="str">
        <x:v>崩逝</x:v>
      </x:c>
      <x:c r="E171" s="100" t="str">
        <x:v>died_on</x:v>
      </x:c>
      <x:c r="F171" s="100" t="str"/>
      <x:c r="G171" s="100" t="str"/>
      <x:c r="H171" s="100" t="str"/>
      <x:c r="I171" s="100" t="str">
        <x:v>true</x:v>
      </x:c>
      <x:c r="J171" s="100" t="str">
        <x:v>420</x:v>
      </x:c>
    </x:row>
    <x:row r="172" ht="32" customHeight="1">
      <x:c r="A172" s="100" t="str">
        <x:v>assertion_predicate</x:v>
      </x:c>
      <x:c r="B172" s="100" t="str">
        <x:v>主张谓词</x:v>
      </x:c>
      <x:c r="C172" s="100" t="str">
        <x:v>posthumous_title_conferred</x:v>
      </x:c>
      <x:c r="D172" s="100" t="str">
        <x:v>上谥</x:v>
      </x:c>
      <x:c r="E172" s="100" t="str">
        <x:v>posthumous_title_conferred</x:v>
      </x:c>
      <x:c r="F172" s="100" t="str"/>
      <x:c r="G172" s="100" t="str"/>
      <x:c r="H172" s="100" t="str"/>
      <x:c r="I172" s="100" t="str">
        <x:v>true</x:v>
      </x:c>
      <x:c r="J172" s="100" t="str">
        <x:v>430</x:v>
      </x:c>
    </x:row>
    <x:row r="173" ht="32" customHeight="1">
      <x:c r="A173" s="100" t="str">
        <x:v>assertion_predicate</x:v>
      </x:c>
      <x:c r="B173" s="100" t="str">
        <x:v>主张谓词</x:v>
      </x:c>
      <x:c r="C173" s="100" t="str">
        <x:v>posthumous_title_changed</x:v>
      </x:c>
      <x:c r="D173" s="100" t="str">
        <x:v>改谥</x:v>
      </x:c>
      <x:c r="E173" s="100" t="str">
        <x:v>posthumous_title_changed</x:v>
      </x:c>
      <x:c r="F173" s="100" t="str"/>
      <x:c r="G173" s="100" t="str"/>
      <x:c r="H173" s="100" t="str"/>
      <x:c r="I173" s="100" t="str">
        <x:v>true</x:v>
      </x:c>
      <x:c r="J173" s="100" t="str">
        <x:v>440</x:v>
      </x:c>
    </x:row>
    <x:row r="174" ht="32" customHeight="1">
      <x:c r="A174" s="100" t="str">
        <x:v>assertion_predicate</x:v>
      </x:c>
      <x:c r="B174" s="100" t="str">
        <x:v>主张谓词</x:v>
      </x:c>
      <x:c r="C174" s="100" t="str">
        <x:v>buried_at</x:v>
      </x:c>
      <x:c r="D174" s="100" t="str">
        <x:v>安葬</x:v>
      </x:c>
      <x:c r="E174" s="100" t="str">
        <x:v>buried_at</x:v>
      </x:c>
      <x:c r="F174" s="100" t="str"/>
      <x:c r="G174" s="100" t="str"/>
      <x:c r="H174" s="100" t="str"/>
      <x:c r="I174" s="100" t="str">
        <x:v>true</x:v>
      </x:c>
      <x:c r="J174" s="100" t="str">
        <x:v>450</x:v>
      </x:c>
    </x:row>
    <x:row r="175" ht="32" customHeight="1">
      <x:c r="A175" s="100" t="str">
        <x:v>assertion_predicate</x:v>
      </x:c>
      <x:c r="B175" s="100" t="str">
        <x:v>主张谓词</x:v>
      </x:c>
      <x:c r="C175" s="100" t="str">
        <x:v>honored_as_empress_dowager</x:v>
      </x:c>
      <x:c r="D175" s="100" t="str">
        <x:v>尊为皇太后</x:v>
      </x:c>
      <x:c r="E175" s="100" t="str">
        <x:v>honored_as_empress_dowager</x:v>
      </x:c>
      <x:c r="F175" s="100" t="str"/>
      <x:c r="G175" s="100" t="str"/>
      <x:c r="H175" s="100" t="str"/>
      <x:c r="I175" s="100" t="str">
        <x:v>true</x:v>
      </x:c>
      <x:c r="J175" s="100" t="str">
        <x:v>460</x:v>
      </x:c>
    </x:row>
    <x:row r="176" ht="32" customHeight="1">
      <x:c r="A176" s="100" t="str">
        <x:v>assertion_predicate</x:v>
      </x:c>
      <x:c r="B176" s="100" t="str">
        <x:v>主张谓词</x:v>
      </x:c>
      <x:c r="C176" s="100" t="str">
        <x:v>named_in_table_as</x:v>
      </x:c>
      <x:c r="D176" s="100" t="str">
        <x:v>世表用名</x:v>
      </x:c>
      <x:c r="E176" s="100" t="str">
        <x:v>named_in_table_as</x:v>
      </x:c>
      <x:c r="F176" s="100" t="str"/>
      <x:c r="G176" s="100" t="str"/>
      <x:c r="H176" s="100" t="str"/>
      <x:c r="I176" s="100" t="str">
        <x:v>true</x:v>
      </x:c>
      <x:c r="J176" s="100" t="str">
        <x:v>470</x:v>
      </x:c>
    </x:row>
    <x:row r="177" ht="32" customHeight="1">
      <x:c r="A177" s="100" t="str">
        <x:v>assertion_predicate</x:v>
      </x:c>
      <x:c r="B177" s="100" t="str">
        <x:v>主张谓词</x:v>
      </x:c>
      <x:c r="C177" s="100" t="str">
        <x:v>listed_as_early_deceased</x:v>
      </x:c>
      <x:c r="D177" s="100" t="str">
        <x:v>早薨未入序</x:v>
      </x:c>
      <x:c r="E177" s="100" t="str">
        <x:v>listed_as_early_deceased</x:v>
      </x:c>
      <x:c r="F177" s="100" t="str"/>
      <x:c r="G177" s="100" t="str"/>
      <x:c r="H177" s="100" t="str"/>
      <x:c r="I177" s="100" t="str">
        <x:v>true</x:v>
      </x:c>
      <x:c r="J177" s="100" t="str">
        <x:v>480</x:v>
      </x:c>
    </x:row>
    <x:row r="178" ht="32" customHeight="1">
      <x:c r="A178" s="100" t="str">
        <x:v>assertion_predicate</x:v>
      </x:c>
      <x:c r="B178" s="100" t="str">
        <x:v>主张谓词</x:v>
      </x:c>
      <x:c r="C178" s="100" t="str">
        <x:v>described_as_eldest_son</x:v>
      </x:c>
      <x:c r="D178" s="100" t="str">
        <x:v>称为长子</x:v>
      </x:c>
      <x:c r="E178" s="100" t="str">
        <x:v>described_as_eldest_son</x:v>
      </x:c>
      <x:c r="F178" s="100" t="str"/>
      <x:c r="G178" s="100" t="str"/>
      <x:c r="H178" s="100" t="str"/>
      <x:c r="I178" s="100" t="str">
        <x:v>true</x:v>
      </x:c>
      <x:c r="J178" s="100" t="str">
        <x:v>490</x:v>
      </x:c>
    </x:row>
    <x:row r="179" ht="32" customHeight="1">
      <x:c r="A179" s="100" t="str">
        <x:v>assertion_predicate</x:v>
      </x:c>
      <x:c r="B179" s="100" t="str">
        <x:v>主张谓词</x:v>
      </x:c>
      <x:c r="C179" s="100" t="str">
        <x:v>adopted_out_to</x:v>
      </x:c>
      <x:c r="D179" s="100" t="str">
        <x:v>过继出</x:v>
      </x:c>
      <x:c r="E179" s="100" t="str">
        <x:v>adopted_out_to</x:v>
      </x:c>
      <x:c r="F179" s="100" t="str"/>
      <x:c r="G179" s="100" t="str"/>
      <x:c r="H179" s="100" t="str"/>
      <x:c r="I179" s="100" t="str">
        <x:v>true</x:v>
      </x:c>
      <x:c r="J179" s="100" t="str">
        <x:v>500</x:v>
      </x:c>
    </x:row>
    <x:row r="180" ht="32" customHeight="1">
      <x:c r="A180" s="100" t="str">
        <x:v>assertion_predicate</x:v>
      </x:c>
      <x:c r="B180" s="100" t="str">
        <x:v>主张谓词</x:v>
      </x:c>
      <x:c r="C180" s="100" t="str">
        <x:v>father_of_in_table</x:v>
      </x:c>
      <x:c r="D180" s="100" t="str">
        <x:v>世表父系计数</x:v>
      </x:c>
      <x:c r="E180" s="100" t="str">
        <x:v>father_of_in_table</x:v>
      </x:c>
      <x:c r="F180" s="100" t="str"/>
      <x:c r="G180" s="100" t="str"/>
      <x:c r="H180" s="100" t="str"/>
      <x:c r="I180" s="100" t="str">
        <x:v>true</x:v>
      </x:c>
      <x:c r="J180" s="100" t="str">
        <x:v>510</x:v>
      </x:c>
    </x:row>
    <x:row r="181" ht="32" customHeight="1">
      <x:c r="A181" s="100" t="str">
        <x:v>assertion_predicate</x:v>
      </x:c>
      <x:c r="B181" s="100" t="str">
        <x:v>主张谓词</x:v>
      </x:c>
      <x:c r="C181" s="100" t="str">
        <x:v>table_birth_order</x:v>
      </x:c>
      <x:c r="D181" s="100" t="str">
        <x:v>世表序齿</x:v>
      </x:c>
      <x:c r="E181" s="100" t="str">
        <x:v>table_birth_order</x:v>
      </x:c>
      <x:c r="F181" s="100" t="str"/>
      <x:c r="G181" s="100" t="str"/>
      <x:c r="H181" s="100" t="str"/>
      <x:c r="I181" s="100" t="str">
        <x:v>true</x:v>
      </x:c>
      <x:c r="J181" s="100" t="str">
        <x:v>520</x:v>
      </x:c>
    </x:row>
    <x:row r="182" ht="32" customHeight="1">
      <x:c r="A182" s="100" t="str">
        <x:v>assertion_predicate</x:v>
      </x:c>
      <x:c r="B182" s="100" t="str">
        <x:v>主张谓词</x:v>
      </x:c>
      <x:c r="C182" s="100" t="str">
        <x:v>table_daughter_order</x:v>
      </x:c>
      <x:c r="D182" s="100" t="str">
        <x:v>公主表序齿</x:v>
      </x:c>
      <x:c r="E182" s="100" t="str">
        <x:v>table_daughter_order</x:v>
      </x:c>
      <x:c r="F182" s="100" t="str"/>
      <x:c r="G182" s="100" t="str"/>
      <x:c r="H182" s="100" t="str"/>
      <x:c r="I182" s="100" t="str">
        <x:v>true</x:v>
      </x:c>
      <x:c r="J182" s="100" t="str">
        <x:v>530</x:v>
      </x:c>
    </x:row>
    <x:row r="183" ht="32" customHeight="1">
      <x:c r="A183" s="100" t="str">
        <x:v>assertion_predicate</x:v>
      </x:c>
      <x:c r="B183" s="100" t="str">
        <x:v>主张谓词</x:v>
      </x:c>
      <x:c r="C183" s="100" t="str">
        <x:v>invested_as_princess</x:v>
      </x:c>
      <x:c r="D183" s="100" t="str">
        <x:v>封公主</x:v>
      </x:c>
      <x:c r="E183" s="100" t="str">
        <x:v>invested_as_princess</x:v>
      </x:c>
      <x:c r="F183" s="100" t="str"/>
      <x:c r="G183" s="100" t="str"/>
      <x:c r="H183" s="100" t="str"/>
      <x:c r="I183" s="100" t="str">
        <x:v>true</x:v>
      </x:c>
      <x:c r="J183" s="100" t="str">
        <x:v>540</x:v>
      </x:c>
    </x:row>
    <x:row r="184" ht="32" customHeight="1">
      <x:c r="A184" s="100" t="str">
        <x:v>assertion_predicate</x:v>
      </x:c>
      <x:c r="B184" s="100" t="str">
        <x:v>主张谓词</x:v>
      </x:c>
      <x:c r="C184" s="100" t="str">
        <x:v>advanced_as_princess</x:v>
      </x:c>
      <x:c r="D184" s="100" t="str">
        <x:v>进封公主</x:v>
      </x:c>
      <x:c r="E184" s="100" t="str">
        <x:v>advanced_as_princess</x:v>
      </x:c>
      <x:c r="F184" s="100" t="str"/>
      <x:c r="G184" s="100" t="str"/>
      <x:c r="H184" s="100" t="str"/>
      <x:c r="I184" s="100" t="str">
        <x:v>true</x:v>
      </x:c>
      <x:c r="J184" s="100" t="str">
        <x:v>550</x:v>
      </x:c>
    </x:row>
    <x:row r="185" ht="32" customHeight="1">
      <x:c r="A185" s="100" t="str">
        <x:v>assertion_predicate</x:v>
      </x:c>
      <x:c r="B185" s="100" t="str">
        <x:v>主张谓词</x:v>
      </x:c>
      <x:c r="C185" s="100" t="str">
        <x:v>posthumously_advanced_as</x:v>
      </x:c>
      <x:c r="D185" s="100" t="str">
        <x:v>追进封</x:v>
      </x:c>
      <x:c r="E185" s="100" t="str">
        <x:v>posthumously_advanced_as</x:v>
      </x:c>
      <x:c r="F185" s="100" t="str"/>
      <x:c r="G185" s="100" t="str"/>
      <x:c r="H185" s="100" t="str"/>
      <x:c r="I185" s="100" t="str">
        <x:v>true</x:v>
      </x:c>
      <x:c r="J185" s="100" t="str">
        <x:v>560</x:v>
      </x:c>
    </x:row>
    <x:row r="186" ht="32" customHeight="1">
      <x:c r="A186" s="100" t="str">
        <x:v>assertion_predicate</x:v>
      </x:c>
      <x:c r="B186" s="100" t="str">
        <x:v>主张谓词</x:v>
      </x:c>
      <x:c r="C186" s="100" t="str">
        <x:v>married_to</x:v>
      </x:c>
      <x:c r="D186" s="100" t="str">
        <x:v>下嫁</x:v>
      </x:c>
      <x:c r="E186" s="100" t="str">
        <x:v>married_to</x:v>
      </x:c>
      <x:c r="F186" s="100" t="str"/>
      <x:c r="G186" s="100" t="str"/>
      <x:c r="H186" s="100" t="str"/>
      <x:c r="I186" s="100" t="str">
        <x:v>true</x:v>
      </x:c>
      <x:c r="J186" s="100" t="str">
        <x:v>570</x:v>
      </x:c>
    </x:row>
    <x:row r="187" ht="32" customHeight="1">
      <x:c r="A187" s="100" t="str">
        <x:v>assertion_predicate</x:v>
      </x:c>
      <x:c r="B187" s="100" t="str">
        <x:v>主张谓词</x:v>
      </x:c>
      <x:c r="C187" s="100" t="str">
        <x:v>born_on</x:v>
      </x:c>
      <x:c r="D187" s="100" t="str">
        <x:v>出生</x:v>
      </x:c>
      <x:c r="E187" s="100" t="str">
        <x:v>born_on</x:v>
      </x:c>
      <x:c r="F187" s="100" t="str"/>
      <x:c r="G187" s="100" t="str"/>
      <x:c r="H187" s="100" t="str"/>
      <x:c r="I187" s="100" t="str">
        <x:v>true</x:v>
      </x:c>
      <x:c r="J187" s="100" t="str">
        <x:v>580</x:v>
      </x:c>
    </x:row>
    <x:row r="188" ht="32" customHeight="1">
      <x:c r="A188" s="100" t="str">
        <x:v>assertion_predicate</x:v>
      </x:c>
      <x:c r="B188" s="100" t="str">
        <x:v>主张谓词</x:v>
      </x:c>
      <x:c r="C188" s="100" t="str">
        <x:v>fostered_not_begotten</x:v>
      </x:c>
      <x:c r="D188" s="100" t="str">
        <x:v>抚育非亲生</x:v>
      </x:c>
      <x:c r="E188" s="100" t="str">
        <x:v>fostered_not_begotten</x:v>
      </x:c>
      <x:c r="F188" s="100" t="str"/>
      <x:c r="G188" s="100" t="str"/>
      <x:c r="H188" s="100" t="str"/>
      <x:c r="I188" s="100" t="str">
        <x:v>true</x:v>
      </x:c>
      <x:c r="J188" s="100" t="str">
        <x:v>590</x:v>
      </x:c>
    </x:row>
    <x:row r="189" ht="32" customHeight="1">
      <x:c r="A189" s="100" t="str">
        <x:v>assertion_predicate</x:v>
      </x:c>
      <x:c r="B189" s="100" t="str">
        <x:v>主张谓词</x:v>
      </x:c>
      <x:c r="C189" s="100" t="str">
        <x:v>father_of_in_princess_table</x:v>
      </x:c>
      <x:c r="D189" s="100" t="str">
        <x:v>公主表父系计数</x:v>
      </x:c>
      <x:c r="E189" s="100" t="str">
        <x:v>father_of_in_princess_table</x:v>
      </x:c>
      <x:c r="F189" s="100" t="str"/>
      <x:c r="G189" s="100" t="str"/>
      <x:c r="H189" s="100" t="str"/>
      <x:c r="I189" s="100" t="str">
        <x:v>true</x:v>
      </x:c>
      <x:c r="J189" s="100" t="str">
        <x:v>600</x:v>
      </x:c>
    </x:row>
    <x:row r="190" ht="32" customHeight="1">
      <x:c r="A190" s="100" t="str">
        <x:v>assertion_predicate</x:v>
      </x:c>
      <x:c r="B190" s="100" t="str">
        <x:v>主张谓词</x:v>
      </x:c>
      <x:c r="C190" s="100" t="str">
        <x:v>unsealed_daughter_count</x:v>
      </x:c>
      <x:c r="D190" s="100" t="str">
        <x:v>未封皇女计数</x:v>
      </x:c>
      <x:c r="E190" s="100" t="str">
        <x:v>unsealed_daughter_count</x:v>
      </x:c>
      <x:c r="F190" s="100" t="str"/>
      <x:c r="G190" s="100" t="str"/>
      <x:c r="H190" s="100" t="str"/>
      <x:c r="I190" s="100" t="str">
        <x:v>true</x:v>
      </x:c>
      <x:c r="J190" s="100" t="str">
        <x:v>610</x:v>
      </x:c>
    </x:row>
    <x:row r="191" ht="32" customHeight="1">
      <x:c r="A191" s="100" t="str">
        <x:v>assertion_predicate</x:v>
      </x:c>
      <x:c r="B191" s="100" t="str">
        <x:v>主张谓词</x:v>
      </x:c>
      <x:c r="C191" s="100" t="str">
        <x:v>consort_title_stripped</x:v>
      </x:c>
      <x:c r="D191" s="100" t="str">
        <x:v>额驸削号</x:v>
      </x:c>
      <x:c r="E191" s="100" t="str">
        <x:v>consort_title_stripped</x:v>
      </x:c>
      <x:c r="F191" s="100" t="str"/>
      <x:c r="G191" s="100" t="str"/>
      <x:c r="H191" s="100" t="str"/>
      <x:c r="I191" s="100" t="str">
        <x:v>true</x:v>
      </x:c>
      <x:c r="J191" s="100" t="str">
        <x:v>620</x:v>
      </x:c>
    </x:row>
    <x:row r="192" ht="32" customHeight="1">
      <x:c r="A192" s="100" t="str">
        <x:v>assertion_predicate</x:v>
      </x:c>
      <x:c r="B192" s="100" t="str">
        <x:v>主张谓词</x:v>
      </x:c>
      <x:c r="C192" s="100" t="str">
        <x:v>absent_from_volume</x:v>
      </x:c>
      <x:c r="D192" s="100" t="str">
        <x:v>本卷缺号</x:v>
      </x:c>
      <x:c r="E192" s="100" t="str">
        <x:v>absent_from_volume</x:v>
      </x:c>
      <x:c r="F192" s="100" t="str"/>
      <x:c r="G192" s="100" t="str"/>
      <x:c r="H192" s="100" t="str"/>
      <x:c r="I192" s="100" t="str">
        <x:v>true</x:v>
      </x:c>
      <x:c r="J192" s="100" t="str">
        <x:v>630</x:v>
      </x:c>
    </x:row>
    <x:row r="193" ht="32" customHeight="1">
      <x:c r="A193" s="100" t="str">
        <x:v>assertion_predicate</x:v>
      </x:c>
      <x:c r="B193" s="100" t="str">
        <x:v>主张谓词</x:v>
      </x:c>
      <x:c r="C193" s="100" t="str">
        <x:v>stationed_at</x:v>
      </x:c>
      <x:c r="D193" s="100" t="str">
        <x:v>驻跸</x:v>
      </x:c>
      <x:c r="E193" s="100" t="str">
        <x:v>stationed_at</x:v>
      </x:c>
      <x:c r="F193" s="100" t="str"/>
      <x:c r="G193" s="100" t="str"/>
      <x:c r="H193" s="100" t="str"/>
      <x:c r="I193" s="100" t="str">
        <x:v>true</x:v>
      </x:c>
      <x:c r="J193" s="100" t="str">
        <x:v>640</x:v>
      </x:c>
    </x:row>
    <x:row r="194" ht="32" customHeight="1">
      <x:c r="A194" s="100" t="str">
        <x:v>assertion_predicate</x:v>
      </x:c>
      <x:c r="B194" s="100" t="str">
        <x:v>主张谓词</x:v>
      </x:c>
      <x:c r="C194" s="100" t="str">
        <x:v>stated_not_to_invest</x:v>
      </x:c>
      <x:c r="D194" s="100" t="str">
        <x:v>上谕明示不欲立</x:v>
      </x:c>
      <x:c r="E194" s="100" t="str">
        <x:v>stated_not_to_invest</x:v>
      </x:c>
      <x:c r="F194" s="100" t="str"/>
      <x:c r="G194" s="100" t="str"/>
      <x:c r="H194" s="100" t="str"/>
      <x:c r="I194" s="100" t="str">
        <x:v>true</x:v>
      </x:c>
      <x:c r="J194" s="100" t="str">
        <x:v>650</x:v>
      </x:c>
    </x:row>
    <x:row r="195" ht="32" customHeight="1">
      <x:c r="A195" s="100" t="str">
        <x:v>assertion_predicate</x:v>
      </x:c>
      <x:c r="B195" s="100" t="str">
        <x:v>主张谓词</x:v>
      </x:c>
      <x:c r="C195" s="100" t="str">
        <x:v>edict_stated_ritual_date</x:v>
      </x:c>
      <x:c r="D195" s="100" t="str">
        <x:v>诏书自述告祭日</x:v>
      </x:c>
      <x:c r="E195" s="100" t="str">
        <x:v>edict_stated_ritual_date</x:v>
      </x:c>
      <x:c r="F195" s="100" t="str"/>
      <x:c r="G195" s="100" t="str"/>
      <x:c r="H195" s="100" t="str"/>
      <x:c r="I195" s="100" t="str">
        <x:v>true</x:v>
      </x:c>
      <x:c r="J195" s="100" t="str">
        <x:v>660</x:v>
      </x:c>
    </x:row>
    <x:row r="196" ht="32" customHeight="1">
      <x:c r="A196" s="100" t="str">
        <x:v>assertion_predicate</x:v>
      </x:c>
      <x:c r="B196" s="100" t="str">
        <x:v>主张谓词</x:v>
      </x:c>
      <x:c r="C196" s="100" t="str">
        <x:v>reported_in_edict</x:v>
      </x:c>
      <x:c r="D196" s="100" t="str">
        <x:v>上谕转述</x:v>
      </x:c>
      <x:c r="E196" s="100" t="str">
        <x:v>reported_in_edict</x:v>
      </x:c>
      <x:c r="F196" s="100" t="str"/>
      <x:c r="G196" s="100" t="str"/>
      <x:c r="H196" s="100" t="str"/>
      <x:c r="I196" s="100" t="str">
        <x:v>true</x:v>
      </x:c>
      <x:c r="J196" s="100" t="str">
        <x:v>670</x:v>
      </x:c>
    </x:row>
    <x:row r="197" ht="32" customHeight="1">
      <x:c r="A197" s="100" t="str">
        <x:v>assertion_predicate</x:v>
      </x:c>
      <x:c r="B197" s="100" t="str">
        <x:v>主张谓词</x:v>
      </x:c>
      <x:c r="C197" s="100" t="str">
        <x:v>ordered_heir_date_selection</x:v>
      </x:c>
      <x:c r="D197" s="100" t="str">
        <x:v>谕礼部择吉立太子</x:v>
      </x:c>
      <x:c r="E197" s="100" t="str">
        <x:v>ordered_heir_date_selection</x:v>
      </x:c>
      <x:c r="F197" s="100" t="str"/>
      <x:c r="G197" s="100" t="str"/>
      <x:c r="H197" s="100" t="str"/>
      <x:c r="I197" s="100" t="str">
        <x:v>true</x:v>
      </x:c>
      <x:c r="J197" s="100" t="str">
        <x:v>675</x:v>
      </x:c>
    </x:row>
    <x:row r="198" ht="32" customHeight="1">
      <x:c r="A198" s="100" t="str">
        <x:v>assertion_predicate</x:v>
      </x:c>
      <x:c r="B198" s="100" t="str">
        <x:v>主张谓词</x:v>
      </x:c>
      <x:c r="C198" s="100" t="str">
        <x:v>invested_as_heir</x:v>
      </x:c>
      <x:c r="D198" s="100" t="str">
        <x:v>立为皇太子</x:v>
      </x:c>
      <x:c r="E198" s="100" t="str">
        <x:v>invested_as_heir</x:v>
      </x:c>
      <x:c r="F198" s="100" t="str"/>
      <x:c r="G198" s="100" t="str"/>
      <x:c r="H198" s="100" t="str"/>
      <x:c r="I198" s="100" t="str">
        <x:v>true</x:v>
      </x:c>
      <x:c r="J198" s="100" t="str">
        <x:v>680</x:v>
      </x:c>
    </x:row>
    <x:row r="199" ht="32" customHeight="1">
      <x:c r="A199" s="100" t="str">
        <x:v>assertion_predicate</x:v>
      </x:c>
      <x:c r="B199" s="100" t="str">
        <x:v>主张谓词</x:v>
      </x:c>
      <x:c r="C199" s="100" t="str">
        <x:v>arrested_as_heir</x:v>
      </x:c>
      <x:c r="D199" s="100" t="str">
        <x:v>拘执废太子</x:v>
      </x:c>
      <x:c r="E199" s="100" t="str">
        <x:v>arrested_as_heir</x:v>
      </x:c>
      <x:c r="F199" s="100" t="str"/>
      <x:c r="G199" s="100" t="str"/>
      <x:c r="H199" s="100" t="str"/>
      <x:c r="I199" s="100" t="str">
        <x:v>true</x:v>
      </x:c>
      <x:c r="J199" s="100" t="str">
        <x:v>690</x:v>
      </x:c>
    </x:row>
    <x:row r="200" ht="32" customHeight="1">
      <x:c r="A200" s="100" t="str">
        <x:v>assertion_predicate</x:v>
      </x:c>
      <x:c r="B200" s="100" t="str">
        <x:v>主张谓词</x:v>
      </x:c>
      <x:c r="C200" s="100" t="str">
        <x:v>deposed_as_heir</x:v>
      </x:c>
      <x:c r="D200" s="100" t="str">
        <x:v>废皇太子</x:v>
      </x:c>
      <x:c r="E200" s="100" t="str">
        <x:v>deposed_as_heir</x:v>
      </x:c>
      <x:c r="F200" s="100" t="str"/>
      <x:c r="G200" s="100" t="str"/>
      <x:c r="H200" s="100" t="str"/>
      <x:c r="I200" s="100" t="str">
        <x:v>true</x:v>
      </x:c>
      <x:c r="J200" s="100" t="str">
        <x:v>700</x:v>
      </x:c>
    </x:row>
    <x:row r="201" ht="32" customHeight="1">
      <x:c r="A201" s="100" t="str">
        <x:v>assertion_predicate</x:v>
      </x:c>
      <x:c r="B201" s="100" t="str">
        <x:v>主张谓词</x:v>
      </x:c>
      <x:c r="C201" s="100" t="str">
        <x:v>stripped_of_title</x:v>
      </x:c>
      <x:c r="D201" s="100" t="str">
        <x:v>削爵</x:v>
      </x:c>
      <x:c r="E201" s="100" t="str">
        <x:v>stripped_of_title</x:v>
      </x:c>
      <x:c r="F201" s="100" t="str"/>
      <x:c r="G201" s="100" t="str"/>
      <x:c r="H201" s="100" t="str"/>
      <x:c r="I201" s="100" t="str">
        <x:v>true</x:v>
      </x:c>
      <x:c r="J201" s="100" t="str">
        <x:v>710</x:v>
      </x:c>
    </x:row>
    <x:row r="202" ht="32" customHeight="1">
      <x:c r="A202" s="100" t="str">
        <x:v>assertion_predicate</x:v>
      </x:c>
      <x:c r="B202" s="100" t="str">
        <x:v>主张谓词</x:v>
      </x:c>
      <x:c r="C202" s="100" t="str">
        <x:v>petitioned_reinstatement</x:v>
      </x:c>
      <x:c r="D202" s="100" t="str">
        <x:v>请复立</x:v>
      </x:c>
      <x:c r="E202" s="100" t="str">
        <x:v>petitioned_reinstatement</x:v>
      </x:c>
      <x:c r="F202" s="100" t="str"/>
      <x:c r="G202" s="100" t="str"/>
      <x:c r="H202" s="100" t="str"/>
      <x:c r="I202" s="100" t="str">
        <x:v>true</x:v>
      </x:c>
      <x:c r="J202" s="100" t="str">
        <x:v>720</x:v>
      </x:c>
    </x:row>
    <x:row r="203" ht="32" customHeight="1">
      <x:c r="A203" s="100" t="str">
        <x:v>assertion_predicate</x:v>
      </x:c>
      <x:c r="B203" s="100" t="str">
        <x:v>主张谓词</x:v>
      </x:c>
      <x:c r="C203" s="100" t="str">
        <x:v>proposed_as_heir</x:v>
      </x:c>
      <x:c r="D203" s="100" t="str">
        <x:v>被请立为储</x:v>
      </x:c>
      <x:c r="E203" s="100" t="str">
        <x:v>proposed_as_heir</x:v>
      </x:c>
      <x:c r="F203" s="100" t="str"/>
      <x:c r="G203" s="100" t="str"/>
      <x:c r="H203" s="100" t="str"/>
      <x:c r="I203" s="100" t="str">
        <x:v>true</x:v>
      </x:c>
      <x:c r="J203" s="100" t="str">
        <x:v>730</x:v>
      </x:c>
    </x:row>
    <x:row r="204" ht="32" customHeight="1">
      <x:c r="A204" s="100" t="str">
        <x:v>assertion_predicate</x:v>
      </x:c>
      <x:c r="B204" s="100" t="str">
        <x:v>主张谓词</x:v>
      </x:c>
      <x:c r="C204" s="100" t="str">
        <x:v>released_from_confinement</x:v>
      </x:c>
      <x:c r="D204" s="100" t="str">
        <x:v>释放</x:v>
      </x:c>
      <x:c r="E204" s="100" t="str">
        <x:v>released_from_confinement</x:v>
      </x:c>
      <x:c r="F204" s="100" t="str"/>
      <x:c r="G204" s="100" t="str"/>
      <x:c r="H204" s="100" t="str"/>
      <x:c r="I204" s="100" t="str">
        <x:v>true</x:v>
      </x:c>
      <x:c r="J204" s="100" t="str">
        <x:v>740</x:v>
      </x:c>
    </x:row>
    <x:row r="205" ht="32" customHeight="1">
      <x:c r="A205" s="100" t="str">
        <x:v>assertion_predicate</x:v>
      </x:c>
      <x:c r="B205" s="100" t="str">
        <x:v>主张谓词</x:v>
      </x:c>
      <x:c r="C205" s="100" t="str">
        <x:v>reinstated_as_heir</x:v>
      </x:c>
      <x:c r="D205" s="100" t="str">
        <x:v>复立为皇太子</x:v>
      </x:c>
      <x:c r="E205" s="100" t="str">
        <x:v>reinstated_as_heir</x:v>
      </x:c>
      <x:c r="F205" s="100" t="str"/>
      <x:c r="G205" s="100" t="str"/>
      <x:c r="H205" s="100" t="str"/>
      <x:c r="I205" s="100" t="str">
        <x:v>true</x:v>
      </x:c>
      <x:c r="J205" s="100" t="str">
        <x:v>750</x:v>
      </x:c>
    </x:row>
    <x:row r="206" ht="32" customHeight="1">
      <x:c r="A206" s="100" t="str">
        <x:v>assertion_predicate</x:v>
      </x:c>
      <x:c r="B206" s="100" t="str">
        <x:v>主张谓词</x:v>
      </x:c>
      <x:c r="C206" s="100" t="str">
        <x:v>announced_deposition_at_temple</x:v>
      </x:c>
      <x:c r="D206" s="100" t="str">
        <x:v>废储告庙</x:v>
      </x:c>
      <x:c r="E206" s="100" t="str">
        <x:v>announced_deposition_at_temple</x:v>
      </x:c>
      <x:c r="F206" s="100" t="str"/>
      <x:c r="G206" s="100" t="str"/>
      <x:c r="H206" s="100" t="str"/>
      <x:c r="I206" s="100" t="str">
        <x:v>true</x:v>
      </x:c>
      <x:c r="J206" s="100" t="str">
        <x:v>760</x:v>
      </x:c>
    </x:row>
    <x:row r="207" ht="32" customHeight="1">
      <x:c r="A207" s="100" t="str">
        <x:v>assertion_predicate</x:v>
      </x:c>
      <x:c r="B207" s="100" t="str">
        <x:v>主张谓词</x:v>
      </x:c>
      <x:c r="C207" s="100" t="str">
        <x:v>ill_at</x:v>
      </x:c>
      <x:c r="D207" s="100" t="str">
        <x:v>不豫地点</x:v>
      </x:c>
      <x:c r="E207" s="100" t="str">
        <x:v>ill_at</x:v>
      </x:c>
      <x:c r="F207" s="100" t="str"/>
      <x:c r="G207" s="100" t="str"/>
      <x:c r="H207" s="100" t="str"/>
      <x:c r="I207" s="100" t="str">
        <x:v>true</x:v>
      </x:c>
      <x:c r="J207" s="100" t="str">
        <x:v>770</x:v>
      </x:c>
    </x:row>
    <x:row r="208" ht="32" customHeight="1">
      <x:c r="A208" s="100" t="str">
        <x:v>assertion_predicate</x:v>
      </x:c>
      <x:c r="B208" s="100" t="str">
        <x:v>主张谓词</x:v>
      </x:c>
      <x:c r="C208" s="100" t="str">
        <x:v>appointed_regency_council</x:v>
      </x:c>
      <x:c r="D208" s="100" t="str">
        <x:v>命总理事务</x:v>
      </x:c>
      <x:c r="E208" s="100" t="str">
        <x:v>appointed_regency_council</x:v>
      </x:c>
      <x:c r="F208" s="100" t="str"/>
      <x:c r="G208" s="100" t="str"/>
      <x:c r="H208" s="100" t="str"/>
      <x:c r="I208" s="100" t="str">
        <x:v>true</x:v>
      </x:c>
      <x:c r="J208" s="100" t="str">
        <x:v>780</x:v>
      </x:c>
    </x:row>
    <x:row r="209" ht="32" customHeight="1">
      <x:c r="A209" s="100" t="str">
        <x:v>assertion_predicate</x:v>
      </x:c>
      <x:c r="B209" s="100" t="str">
        <x:v>主张谓词</x:v>
      </x:c>
      <x:c r="C209" s="100" t="str">
        <x:v>recalled_to_capital</x:v>
      </x:c>
      <x:c r="D209" s="100" t="str">
        <x:v>召还京师</x:v>
      </x:c>
      <x:c r="E209" s="100" t="str">
        <x:v>recalled_to_capital</x:v>
      </x:c>
      <x:c r="F209" s="100" t="str"/>
      <x:c r="G209" s="100" t="str"/>
      <x:c r="H209" s="100" t="str"/>
      <x:c r="I209" s="100" t="str">
        <x:v>true</x:v>
      </x:c>
      <x:c r="J209" s="100" t="str">
        <x:v>790</x:v>
      </x:c>
    </x:row>
    <x:row r="210" ht="32" customHeight="1">
      <x:c r="A210" s="100" t="str">
        <x:v>assertion_predicate</x:v>
      </x:c>
      <x:c r="B210" s="100" t="str">
        <x:v>主张谓词</x:v>
      </x:c>
      <x:c r="C210" s="100" t="str">
        <x:v>invested_as_prince</x:v>
      </x:c>
      <x:c r="D210" s="100" t="str">
        <x:v>封王</x:v>
      </x:c>
      <x:c r="E210" s="100" t="str">
        <x:v>invested_as_prince</x:v>
      </x:c>
      <x:c r="F210" s="100" t="str"/>
      <x:c r="G210" s="100" t="str"/>
      <x:c r="H210" s="100" t="str"/>
      <x:c r="I210" s="100" t="str">
        <x:v>true</x:v>
      </x:c>
      <x:c r="J210" s="100" t="str">
        <x:v>800</x:v>
      </x:c>
    </x:row>
    <x:row r="211" ht="32" customHeight="1">
      <x:c r="A211" s="100" t="str">
        <x:v>assertion_predicate</x:v>
      </x:c>
      <x:c r="B211" s="100" t="str">
        <x:v>主张谓词</x:v>
      </x:c>
      <x:c r="C211" s="100" t="str">
        <x:v>appointed_as</x:v>
      </x:c>
      <x:c r="D211" s="100" t="str">
        <x:v>授职</x:v>
      </x:c>
      <x:c r="E211" s="100" t="str">
        <x:v>appointed_as</x:v>
      </x:c>
      <x:c r="F211" s="100" t="str"/>
      <x:c r="G211" s="100" t="str"/>
      <x:c r="H211" s="100" t="str"/>
      <x:c r="I211" s="100" t="str">
        <x:v>true</x:v>
      </x:c>
      <x:c r="J211" s="100" t="str">
        <x:v>810</x:v>
      </x:c>
    </x:row>
    <x:row r="212" ht="32" customHeight="1">
      <x:c r="A212" s="100" t="str">
        <x:v>assertion_predicate</x:v>
      </x:c>
      <x:c r="B212" s="100" t="str">
        <x:v>主张谓词</x:v>
      </x:c>
      <x:c r="C212" s="100" t="str">
        <x:v>honored_as</x:v>
      </x:c>
      <x:c r="D212" s="100" t="str">
        <x:v>加衔</x:v>
      </x:c>
      <x:c r="E212" s="100" t="str">
        <x:v>honored_as</x:v>
      </x:c>
      <x:c r="F212" s="100" t="str"/>
      <x:c r="G212" s="100" t="str"/>
      <x:c r="H212" s="100" t="str"/>
      <x:c r="I212" s="100" t="str">
        <x:v>true</x:v>
      </x:c>
      <x:c r="J212" s="100" t="str">
        <x:v>820</x:v>
      </x:c>
    </x:row>
    <x:row r="213" ht="32" customHeight="1">
      <x:c r="A213" s="100" t="str">
        <x:v>assertion_predicate</x:v>
      </x:c>
      <x:c r="B213" s="100" t="str">
        <x:v>主张谓词</x:v>
      </x:c>
      <x:c r="C213" s="100" t="str">
        <x:v>invested_as_duke</x:v>
      </x:c>
      <x:c r="D213" s="100" t="str">
        <x:v>封公</x:v>
      </x:c>
      <x:c r="E213" s="100" t="str">
        <x:v>invested_as_duke</x:v>
      </x:c>
      <x:c r="F213" s="100" t="str"/>
      <x:c r="G213" s="100" t="str"/>
      <x:c r="H213" s="100" t="str"/>
      <x:c r="I213" s="100" t="str">
        <x:v>true</x:v>
      </x:c>
      <x:c r="J213" s="100" t="str">
        <x:v>830</x:v>
      </x:c>
    </x:row>
    <x:row r="214" ht="32" customHeight="1">
      <x:c r="A214" s="100" t="str">
        <x:v>assertion_predicate</x:v>
      </x:c>
      <x:c r="B214" s="100" t="str">
        <x:v>主张谓词</x:v>
      </x:c>
      <x:c r="C214" s="100" t="str">
        <x:v>coffin_placed_at</x:v>
      </x:c>
      <x:c r="D214" s="100" t="str">
        <x:v>奉安梓宫</x:v>
      </x:c>
      <x:c r="E214" s="100" t="str">
        <x:v>coffin_placed_at</x:v>
      </x:c>
      <x:c r="F214" s="100" t="str"/>
      <x:c r="G214" s="100" t="str"/>
      <x:c r="H214" s="100" t="str"/>
      <x:c r="I214" s="100" t="str">
        <x:v>true</x:v>
      </x:c>
      <x:c r="J214" s="100" t="str">
        <x:v>840</x:v>
      </x:c>
    </x:row>
    <x:row r="215" ht="32" customHeight="1">
      <x:c r="A215" s="100" t="str">
        <x:v>assertion_predicate</x:v>
      </x:c>
      <x:c r="B215" s="100" t="str">
        <x:v>主张谓词</x:v>
      </x:c>
      <x:c r="C215" s="100" t="str">
        <x:v>sealed_heir_edict_behind</x:v>
      </x:c>
      <x:c r="D215" s="100" t="str">
        <x:v>密旨收藏处</x:v>
      </x:c>
      <x:c r="E215" s="100" t="str">
        <x:v>sealed_heir_edict_behind</x:v>
      </x:c>
      <x:c r="F215" s="100" t="str"/>
      <x:c r="G215" s="100" t="str"/>
      <x:c r="H215" s="100" t="str"/>
      <x:c r="I215" s="100" t="str">
        <x:v>true</x:v>
      </x:c>
      <x:c r="J215" s="100" t="str">
        <x:v>850</x:v>
      </x:c>
    </x:row>
    <x:row r="216" ht="32" customHeight="1">
      <x:c r="A216" s="100" t="str">
        <x:v>assertion_predicate</x:v>
      </x:c>
      <x:c r="B216" s="100" t="str">
        <x:v>主张谓词</x:v>
      </x:c>
      <x:c r="C216" s="100" t="str">
        <x:v>campaign_concluded</x:v>
      </x:c>
      <x:c r="D216" s="100" t="str">
        <x:v>战事结束</x:v>
      </x:c>
      <x:c r="E216" s="100" t="str">
        <x:v>campaign_concluded</x:v>
      </x:c>
      <x:c r="F216" s="100" t="str"/>
      <x:c r="G216" s="100" t="str"/>
      <x:c r="H216" s="100" t="str"/>
      <x:c r="I216" s="100" t="str">
        <x:v>true</x:v>
      </x:c>
      <x:c r="J216" s="100" t="str">
        <x:v>860</x:v>
      </x:c>
    </x:row>
    <x:row r="217" ht="32" customHeight="1">
      <x:c r="A217" s="100" t="str">
        <x:v>assertion_predicate</x:v>
      </x:c>
      <x:c r="B217" s="100" t="str">
        <x:v>主张谓词</x:v>
      </x:c>
      <x:c r="C217" s="100" t="str">
        <x:v>reprimanded_for_wording</x:v>
      </x:c>
      <x:c r="D217" s="100" t="str">
        <x:v>责让用语</x:v>
      </x:c>
      <x:c r="E217" s="100" t="str">
        <x:v>reprimanded_for_wording</x:v>
      </x:c>
      <x:c r="F217" s="100" t="str"/>
      <x:c r="G217" s="100" t="str"/>
      <x:c r="H217" s="100" t="str"/>
      <x:c r="I217" s="100" t="str">
        <x:v>true</x:v>
      </x:c>
      <x:c r="J217" s="100" t="str">
        <x:v>870</x:v>
      </x:c>
    </x:row>
    <x:row r="218" ht="32" customHeight="1">
      <x:c r="A218" s="100" t="str">
        <x:v>assertion_predicate</x:v>
      </x:c>
      <x:c r="B218" s="100" t="str">
        <x:v>主张谓词</x:v>
      </x:c>
      <x:c r="C218" s="100" t="str">
        <x:v>transferred_as</x:v>
      </x:c>
      <x:c r="D218" s="100" t="str">
        <x:v>调任</x:v>
      </x:c>
      <x:c r="E218" s="100" t="str">
        <x:v>transferred_as</x:v>
      </x:c>
      <x:c r="F218" s="100" t="str"/>
      <x:c r="G218" s="100" t="str"/>
      <x:c r="H218" s="100" t="str"/>
      <x:c r="I218" s="100" t="str">
        <x:v>true</x:v>
      </x:c>
      <x:c r="J218" s="100" t="str">
        <x:v>880</x:v>
      </x:c>
    </x:row>
    <x:row r="219" ht="32" customHeight="1">
      <x:c r="A219" s="100" t="str">
        <x:v>assertion_predicate</x:v>
      </x:c>
      <x:c r="B219" s="100" t="str">
        <x:v>主张谓词</x:v>
      </x:c>
      <x:c r="C219" s="100" t="str">
        <x:v>demoted_to</x:v>
      </x:c>
      <x:c r="D219" s="100" t="str">
        <x:v>黜为</x:v>
      </x:c>
      <x:c r="E219" s="100" t="str">
        <x:v>demoted_to</x:v>
      </x:c>
      <x:c r="F219" s="100" t="str"/>
      <x:c r="G219" s="100" t="str"/>
      <x:c r="H219" s="100" t="str"/>
      <x:c r="I219" s="100" t="str">
        <x:v>true</x:v>
      </x:c>
      <x:c r="J219" s="100" t="str">
        <x:v>890</x:v>
      </x:c>
    </x:row>
    <x:row r="220" ht="32" customHeight="1">
      <x:c r="A220" s="100" t="str">
        <x:v>assertion_predicate</x:v>
      </x:c>
      <x:c r="B220" s="100" t="str">
        <x:v>主张谓词</x:v>
      </x:c>
      <x:c r="C220" s="100" t="str">
        <x:v>granted_death</x:v>
      </x:c>
      <x:c r="D220" s="100" t="str">
        <x:v>赐死或令自裁</x:v>
      </x:c>
      <x:c r="E220" s="100" t="str">
        <x:v>granted_death</x:v>
      </x:c>
      <x:c r="F220" s="100" t="str"/>
      <x:c r="G220" s="100" t="str"/>
      <x:c r="H220" s="100" t="str"/>
      <x:c r="I220" s="100" t="str">
        <x:v>true</x:v>
      </x:c>
      <x:c r="J220" s="100" t="str">
        <x:v>900</x:v>
      </x:c>
    </x:row>
    <x:row r="221" ht="32" customHeight="1">
      <x:c r="A221" s="100" t="str">
        <x:v>assertion_predicate</x:v>
      </x:c>
      <x:c r="B221" s="100" t="str">
        <x:v>主张谓词</x:v>
      </x:c>
      <x:c r="C221" s="100" t="str">
        <x:v>renamed_as</x:v>
      </x:c>
      <x:c r="D221" s="100" t="str">
        <x:v>易名</x:v>
      </x:c>
      <x:c r="E221" s="100" t="str">
        <x:v>renamed_as</x:v>
      </x:c>
      <x:c r="F221" s="100" t="str"/>
      <x:c r="G221" s="100" t="str"/>
      <x:c r="H221" s="100" t="str"/>
      <x:c r="I221" s="100" t="str">
        <x:v>true</x:v>
      </x:c>
      <x:c r="J221" s="100" t="str">
        <x:v>910</x:v>
      </x:c>
    </x:row>
    <x:row r="222" ht="32" customHeight="1">
      <x:c r="A222" s="100" t="str">
        <x:v>assertion_predicate</x:v>
      </x:c>
      <x:c r="B222" s="100" t="str">
        <x:v>主张谓词</x:v>
      </x:c>
      <x:c r="C222" s="100" t="str">
        <x:v>imprisoned</x:v>
      </x:c>
      <x:c r="D222" s="100" t="str">
        <x:v>禁锢</x:v>
      </x:c>
      <x:c r="E222" s="100" t="str">
        <x:v>imprisoned</x:v>
      </x:c>
      <x:c r="F222" s="100" t="str"/>
      <x:c r="G222" s="100" t="str"/>
      <x:c r="H222" s="100" t="str"/>
      <x:c r="I222" s="100" t="str">
        <x:v>true</x:v>
      </x:c>
      <x:c r="J222" s="100" t="str">
        <x:v>920</x:v>
      </x:c>
    </x:row>
    <x:row r="223" ht="32" customHeight="1">
      <x:c r="A223" s="100" t="str">
        <x:v>assertion_predicate</x:v>
      </x:c>
      <x:c r="B223" s="100" t="str">
        <x:v>主张谓词</x:v>
      </x:c>
      <x:c r="C223" s="100" t="str">
        <x:v>imprisoned_at</x:v>
      </x:c>
      <x:c r="D223" s="100" t="str">
        <x:v>禁锢地点</x:v>
      </x:c>
      <x:c r="E223" s="100" t="str">
        <x:v>imprisoned_at</x:v>
      </x:c>
      <x:c r="F223" s="100" t="str"/>
      <x:c r="G223" s="100" t="str"/>
      <x:c r="H223" s="100" t="str"/>
      <x:c r="I223" s="100" t="str">
        <x:v>true</x:v>
      </x:c>
      <x:c r="J223" s="100" t="str">
        <x:v>930</x:v>
      </x:c>
    </x:row>
    <x:row r="224" ht="32" customHeight="1">
      <x:c r="A224" s="100" t="str">
        <x:v>assertion_predicate</x:v>
      </x:c>
      <x:c r="B224" s="100" t="str">
        <x:v>主张谓词</x:v>
      </x:c>
      <x:c r="C224" s="100" t="str">
        <x:v>institution_noted_as_begun</x:v>
      </x:c>
      <x:c r="D224" s="100" t="str">
        <x:v>记为始设</x:v>
      </x:c>
      <x:c r="E224" s="100" t="str">
        <x:v>institution_noted_as_begun</x:v>
      </x:c>
      <x:c r="F224" s="100" t="str"/>
      <x:c r="G224" s="100" t="str"/>
      <x:c r="H224" s="100" t="str"/>
      <x:c r="I224" s="100" t="str">
        <x:v>true</x:v>
      </x:c>
      <x:c r="J224" s="100" t="str">
        <x:v>940</x:v>
      </x:c>
    </x:row>
    <x:row r="225" ht="32" customHeight="1">
      <x:c r="A225" s="100" t="str">
        <x:v>assertion_predicate</x:v>
      </x:c>
      <x:c r="B225" s="100" t="str">
        <x:v>主张谓词</x:v>
      </x:c>
      <x:c r="C225" s="100" t="str">
        <x:v>maternal_uncle_of_empress</x:v>
      </x:c>
      <x:c r="D225" s="100" t="str">
        <x:v>后弟</x:v>
      </x:c>
      <x:c r="E225" s="100" t="str">
        <x:v>maternal_uncle_of_empress</x:v>
      </x:c>
      <x:c r="F225" s="100" t="str"/>
      <x:c r="G225" s="100" t="str"/>
      <x:c r="H225" s="100" t="str"/>
      <x:c r="I225" s="100" t="str">
        <x:v>true</x:v>
      </x:c>
      <x:c r="J225" s="100" t="str">
        <x:v>950</x:v>
      </x:c>
    </x:row>
    <x:row r="226" ht="32" customHeight="1">
      <x:c r="A226" s="100" t="str">
        <x:v>assertion_predicate</x:v>
      </x:c>
      <x:c r="B226" s="100" t="str">
        <x:v>主张谓词</x:v>
      </x:c>
      <x:c r="C226" s="100" t="str">
        <x:v>received_deathbed_charge</x:v>
      </x:c>
      <x:c r="D226" s="100" t="str">
        <x:v>召受顾命</x:v>
      </x:c>
      <x:c r="E226" s="100" t="str">
        <x:v>received_deathbed_charge</x:v>
      </x:c>
      <x:c r="F226" s="100" t="str"/>
      <x:c r="G226" s="100" t="str"/>
      <x:c r="H226" s="100" t="str"/>
      <x:c r="I226" s="100" t="str">
        <x:v>true</x:v>
      </x:c>
      <x:c r="J226" s="100" t="str">
        <x:v>960</x:v>
      </x:c>
    </x:row>
    <x:row r="227" ht="32" customHeight="1">
      <x:c r="A227" s="100" t="str">
        <x:v>assertion_predicate</x:v>
      </x:c>
      <x:c r="B227" s="100" t="str">
        <x:v>主张谓词</x:v>
      </x:c>
      <x:c r="C227" s="100" t="str">
        <x:v>titled_as</x:v>
      </x:c>
      <x:c r="D227" s="100" t="str">
        <x:v>记作</x:v>
      </x:c>
      <x:c r="E227" s="100" t="str">
        <x:v>titled_as</x:v>
      </x:c>
      <x:c r="F227" s="100" t="str"/>
      <x:c r="G227" s="100" t="str"/>
      <x:c r="H227" s="100" t="str"/>
      <x:c r="I227" s="100" t="str">
        <x:v>true</x:v>
      </x:c>
      <x:c r="J227" s="100" t="str">
        <x:v>970</x:v>
      </x:c>
    </x:row>
  </x:sheetData>
  <x:mergeCells>
    <x:mergeCell ref="A1:J1"/>
    <x:mergeCell ref="A2:J2"/>
  </x:mergeCells>
  <x:pageMargins left="0.7" right="0.7" top="0.75" bottom="0.75" header="0.3" footer="0.3"/>
  <x:tableParts count="1">
    <x:tablePart xmlns:r="http://schemas.openxmlformats.org/officeDocument/2006/relationships" r:id="R19fec6fb4304489f"/>
  </x:tableParts>
</x:worksheet>
</file>