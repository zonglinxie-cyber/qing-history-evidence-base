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037fef3fb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dc59087f0fff4d68"/>
    <x:sheet xmlns:r="http://schemas.openxmlformats.org/officeDocument/2006/relationships" name="十二帝总档" sheetId="2" r:id="Rd762a1f59edf412b"/>
    <x:sheet xmlns:r="http://schemas.openxmlformats.org/officeDocument/2006/relationships" name="帝王史料索引" sheetId="3" r:id="R16b9dc2b5ff64559"/>
    <x:sheet xmlns:r="http://schemas.openxmlformats.org/officeDocument/2006/relationships" name="十二帝画像" sheetId="4" r:id="R5b8d924f83df49d0"/>
    <x:sheet xmlns:r="http://schemas.openxmlformats.org/officeDocument/2006/relationships" name="持续任务队列" sheetId="5" r:id="Rb458f427f07945cd"/>
    <x:sheet xmlns:r="http://schemas.openxmlformats.org/officeDocument/2006/relationships" name="人物ID对照" sheetId="6" r:id="R436e79f6584c448e"/>
    <x:sheet xmlns:r="http://schemas.openxmlformats.org/officeDocument/2006/relationships" name="十二帝研究卡" sheetId="7" r:id="Rd323d86c343a4a23"/>
    <x:sheet xmlns:r="http://schemas.openxmlformats.org/officeDocument/2006/relationships" name="康熙来源单元" sheetId="8" r:id="R52a6ffb2356a4e7b"/>
    <x:sheet xmlns:r="http://schemas.openxmlformats.org/officeDocument/2006/relationships" name="六批次计划" sheetId="9" r:id="R993d13ac1cdc423c"/>
    <x:sheet xmlns:r="http://schemas.openxmlformats.org/officeDocument/2006/relationships" name="康雍50人" sheetId="10" r:id="R0f2812cca60c436c"/>
    <x:sheet xmlns:r="http://schemas.openxmlformats.org/officeDocument/2006/relationships" name="来源版权台账" sheetId="11" r:id="R67f6d78e9fc54502"/>
    <x:sheet xmlns:r="http://schemas.openxmlformats.org/officeDocument/2006/relationships" name="主张工作台" sheetId="12" r:id="Rc63cfb651595452e"/>
    <x:sheet xmlns:r="http://schemas.openxmlformats.org/officeDocument/2006/relationships" name="关系工作台" sheetId="13" r:id="R26d5b8b0f3b946ad"/>
    <x:sheet xmlns:r="http://schemas.openxmlformats.org/officeDocument/2006/relationships" name="图像工作台" sheetId="14" r:id="R8552e9c68c8242a4"/>
    <x:sheet xmlns:r="http://schemas.openxmlformats.org/officeDocument/2006/relationships" name="决策日志" sheetId="15" r:id="Rbb451a037b9c418a"/>
    <x:sheet xmlns:r="http://schemas.openxmlformats.org/officeDocument/2006/relationships" name="风险登记" sheetId="16" r:id="Rb2b9234bb1554130"/>
    <x:sheet xmlns:r="http://schemas.openxmlformats.org/officeDocument/2006/relationships" name="受控词表" sheetId="17" r:id="Rcf72a499044a47ef"/>
  </x:sheets>
</x:workbook>
</file>

<file path=xl/comments1.xml><?xml version="1.0" encoding="utf-8"?>
<x:comments xmlns:x="http://schemas.openxmlformats.org/spreadsheetml/2006/main">
  <x:authors>
    <x:author>tc={8E477BA4-C2A6-19E4-2494-35D9B25E5698}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Commons 分类页不能替代逐文件许可页；许可状态变化时应重新核查并能撤下本地文件。 </x:t>
        </x:r>
      </x:text>
    </x:comment>
  </x:commentList>
</x:comments>
</file>

<file path=xl/comments2.xml><?xml version="1.0" encoding="utf-8"?>
<x:comments xmlns:x="http://schemas.openxmlformats.org/spreadsheetml/2006/main">
  <x:authors>
    <x:author>tc={48BAAA7A-8F80-3CD9-9B34-D646998D5B32}</x:author>
  </x:authors>
  <x:commentList>
    <x:comment ref="H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任务状态以磁盘台账为准；每轮工作结束必须更新完成位置、未决问题和下一动作。 </x:t>
        </x:r>
      </x:text>
    </x:comment>
  </x:commentList>
</x:comments>
</file>

<file path=xl/comments3.xml><?xml version="1.0" encoding="utf-8"?>
<x:comments xmlns:x="http://schemas.openxmlformats.org/spreadsheetml/2006/main">
  <x:authors>
    <x:author>tc={769C97DB-3D02-0E87-3F4C-19033E2A8DD4}</x:author>
  </x:authors>
  <x:commentList>
    <x:comment ref="G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绿色也必须逐对象核对许可；机构有 Open Data 不代表该机构所有图像和档案均开放。 </x:t>
        </x:r>
      </x:text>
    </x:comment>
  </x:commentList>
</x:comments>
</file>

<file path=xl/comments4.xml><?xml version="1.0" encoding="utf-8"?>
<x:comments xmlns:x="http://schemas.openxmlformats.org/spreadsheetml/2006/main">
  <x:authors>
    <x:author>tc={6C34240C-8731-BA14-4254-7B1D508B0BA3}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只有已采纳或有争议且完成规定复核的主张才可进入正式产品视图；AI 不得自行改变此列。 </x:t>
        </x:r>
      </x:text>
    </x:comment>
  </x:commentList>
</x:comments>
</file>

<file path=xl/comments5.xml><?xml version="1.0" encoding="utf-8"?>
<x:comments xmlns:x="http://schemas.openxmlformats.org/spreadsheetml/2006/main">
  <x:authors>
    <x:author>tc={C9F27F46-B157-A680-0C19-9B9CAB3FFC87}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不要使用笼统的“母亲”关系。至少区分生母、嫡母/法定母、礼仪母、正式收养与抚育者。 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13">
    <x:font>
      <x:sz val="11"/>
      <x:name val="Carlito"/>
    </x:font>
    <x:font>
      <x:b/>
      <x:sz val="19"/>
      <x:color rgb="FFFFFFFF"/>
      <x:name val="STSong"/>
    </x:font>
    <x:font>
      <x:i/>
      <x:sz val="10"/>
      <x:color rgb="FF667085"/>
      <x:name val="Aptos"/>
    </x:font>
    <x:font>
      <x:b/>
      <x:sz val="11"/>
      <x:color rgb="FF067647"/>
      <x:name val="Aptos"/>
    </x:font>
    <x:font>
      <x:b/>
      <x:sz val="10"/>
      <x:color rgb="FF667085"/>
      <x:name val="Aptos"/>
    </x:font>
    <x:font>
      <x:b/>
      <x:sz val="22"/>
      <x:color rgb="FF294765"/>
      <x:name val="STSong"/>
    </x:font>
    <x:font>
      <x:b/>
      <x:sz val="22"/>
      <x:color rgb="FFA63A2B"/>
      <x:name val="STSong"/>
    </x:font>
    <x:font>
      <x:b/>
      <x:sz val="11"/>
      <x:color rgb="FFFFFFFF"/>
      <x:name val="Aptos"/>
    </x:font>
    <x:font>
      <x:b/>
      <x:sz val="11"/>
      <x:color rgb="FFA63A2B"/>
      <x:name val="Carlito"/>
    </x:font>
    <x:font>
      <x:sz val="9"/>
      <x:color rgb="FF1F2937"/>
      <x:name val="Aptos"/>
    </x:font>
    <x:font>
      <x:b/>
      <x:sz val="9"/>
      <x:color rgb="FF294765"/>
      <x:name val="Aptos"/>
    </x:font>
    <x:font>
      <x:i/>
      <x:sz val="9"/>
      <x:color rgb="FF667085"/>
      <x:name val="Carlito"/>
    </x:font>
    <x:font>
      <x:b/>
      <x:sz val="10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294765"/>
      </x:patternFill>
    </x:fill>
    <x:fill>
      <x:patternFill patternType="solid">
        <x:fgColor rgb="FFE8EEF4"/>
      </x:patternFill>
    </x:fill>
    <x:fill>
      <x:patternFill patternType="solid">
        <x:fgColor rgb="FFE5F5ED"/>
      </x:patternFill>
    </x:fill>
    <x:fill>
      <x:patternFill patternType="solid">
        <x:fgColor rgb="FFFFFDF8"/>
      </x:patternFill>
    </x:fill>
    <x:fill>
      <x:patternFill patternType="solid">
        <x:fgColor rgb="FFF6E7E3"/>
      </x:patternFill>
    </x:fill>
    <x:fill>
      <x:patternFill patternType="solid">
        <x:fgColor rgb="FF2F6B57"/>
      </x:patternFill>
    </x:fill>
    <x:fill>
      <x:patternFill patternType="solid">
        <x:fgColor rgb="FFF7F4ED"/>
      </x:patternFill>
    </x:fill>
    <x:fill>
      <x:patternFill patternType="solid">
        <x:fgColor rgb="FFA63A2B"/>
      </x:patternFill>
    </x:fill>
    <x:fill>
      <x:patternFill patternType="solid">
        <x:fgColor rgb="FFEAF2FF"/>
      </x:patternFill>
    </x:fill>
  </x:fills>
  <x:borders count="18">
    <x:border/>
    <x:border>
      <x:left style="thin">
        <x:color rgb="FFD6D3D1"/>
      </x:left>
      <x:top style="thin">
        <x:color rgb="FFD6D3D1"/>
      </x:top>
      <x:bottom style="thin">
        <x:color rgb="FFD6D3D1"/>
      </x:bottom>
    </x:border>
    <x:border>
      <x:right style="thin">
        <x:color rgb="FFD6D3D1"/>
      </x:right>
      <x:top style="thin">
        <x:color rgb="FFD6D3D1"/>
      </x:top>
      <x:bottom style="thin">
        <x:color rgb="FFD6D3D1"/>
      </x:bottom>
    </x:border>
    <x:border>
      <x:left style="thin">
        <x:color rgb="FFD6D3D1"/>
      </x:left>
      <x:top style="thin">
        <x:color rgb="FFD6D3D1"/>
      </x:top>
    </x:border>
    <x:border>
      <x:right style="thin">
        <x:color rgb="FFD6D3D1"/>
      </x:right>
      <x:top style="thin">
        <x:color rgb="FFD6D3D1"/>
      </x:top>
    </x:border>
    <x:border>
      <x:left style="thin">
        <x:color rgb="FFD6D3D1"/>
      </x:left>
      <x:bottom style="thin">
        <x:color rgb="FFD6D3D1"/>
      </x:bottom>
    </x:border>
    <x:border>
      <x:right style="thin">
        <x:color rgb="FFD6D3D1"/>
      </x:right>
      <x:bottom style="thin">
        <x:color rgb="FFD6D3D1"/>
      </x:bottom>
    </x:border>
    <x:border>
      <x:top style="thin">
        <x:color rgb="FFD6D3D1"/>
      </x:top>
    </x:border>
    <x:border>
      <x:left style="thin">
        <x:color rgb="FFD6D3D1"/>
      </x:left>
    </x:border>
    <x:border>
      <x:right style="thin">
        <x:color rgb="FFD6D3D1"/>
      </x:right>
    </x:border>
    <x:border>
      <x:bottom style="thin">
        <x:color rgb="FFD6D3D1"/>
      </x:bottom>
    </x:border>
    <x:border>
      <x:left style="thin">
        <x:color rgb="FFA63A2B"/>
      </x:left>
      <x:top style="thin">
        <x:color rgb="FFA63A2B"/>
      </x:top>
      <x:bottom style="thin">
        <x:color rgb="FFA63A2B"/>
      </x:bottom>
    </x:border>
    <x:border>
      <x:top style="thin">
        <x:color rgb="FFA63A2B"/>
      </x:top>
      <x:bottom style="thin">
        <x:color rgb="FFA63A2B"/>
      </x:bottom>
    </x:border>
    <x:border>
      <x:right style="thin">
        <x:color rgb="FFA63A2B"/>
      </x:right>
      <x:top style="thin">
        <x:color rgb="FFA63A2B"/>
      </x:top>
      <x:bottom style="thin">
        <x:color rgb="FFA63A2B"/>
      </x:bottom>
    </x:border>
    <x:border>
      <x:bottom style="thin">
        <x:color rgb="FFECE9E2"/>
      </x:bottom>
    </x:border>
    <x:border>
      <x:top style="thin">
        <x:color rgb="FFECE9E2"/>
      </x:top>
      <x:bottom style="thin">
        <x:color rgb="FFECE9E2"/>
      </x:bottom>
    </x:border>
    <x:border>
      <x:bottom style="thin">
        <x:color rgb="FFDDE6F2"/>
      </x:bottom>
    </x:border>
    <x:border>
      <x:top style="thin">
        <x:color rgb="FFDDE6F2"/>
      </x:top>
      <x:bottom style="thin">
        <x:color rgb="FFDDE6F2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0" fontId="5" fillId="5" borderId="3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3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200" fontId="6" fillId="5" borderId="3" xfId="0" applyNumberFormat="1" applyFont="1" applyFill="1" applyBorder="1"/>
    <x:xf numFmtId="200" fontId="6" fillId="5" borderId="4" xfId="0" applyNumberFormat="1" applyFont="1" applyFill="1" applyBorder="1"/>
    <x:xf numFmtId="200" fontId="6" fillId="5" borderId="5" xfId="0" applyNumberFormat="1" applyFont="1" applyFill="1" applyBorder="1"/>
    <x:xf numFmtId="200" fontId="6" fillId="5" borderId="6" xfId="0" applyNumberFormat="1" applyFont="1" applyFill="1" applyBorder="1"/>
    <x:xf numFmtId="200" fontId="6" fillId="5" borderId="3" xfId="0" applyNumberFormat="1" applyFont="1" applyFill="1" applyBorder="1" applyAlignment="1">
      <x:alignment horizontal="center"/>
    </x:xf>
    <x:xf numFmtId="200" fontId="6" fillId="5" borderId="4" xfId="0" applyNumberFormat="1" applyFont="1" applyFill="1" applyBorder="1" applyAlignment="1">
      <x:alignment horizontal="center"/>
    </x:xf>
    <x:xf numFmtId="200" fontId="6" fillId="5" borderId="5" xfId="0" applyNumberFormat="1" applyFont="1" applyFill="1" applyBorder="1" applyAlignment="1">
      <x:alignment horizontal="center"/>
    </x:xf>
    <x:xf numFmtId="200" fontId="6" fillId="5" borderId="6" xfId="0" applyNumberFormat="1" applyFont="1" applyFill="1" applyBorder="1" applyAlignment="1">
      <x:alignment horizontal="center"/>
    </x:xf>
    <x:xf numFmtId="200" fontId="6" fillId="5" borderId="3" xfId="0" applyNumberFormat="1" applyFont="1" applyFill="1" applyBorder="1" applyAlignment="1">
      <x:alignment horizontal="center" vertical="center"/>
    </x:xf>
    <x:xf numFmtId="200" fontId="6" fillId="5" borderId="4" xfId="0" applyNumberFormat="1" applyFont="1" applyFill="1" applyBorder="1" applyAlignment="1">
      <x:alignment horizontal="center" vertical="center"/>
    </x:xf>
    <x:xf numFmtId="200" fontId="6" fillId="5" borderId="5" xfId="0" applyNumberFormat="1" applyFont="1" applyFill="1" applyBorder="1" applyAlignment="1">
      <x:alignment horizontal="center" vertical="center"/>
    </x:xf>
    <x:xf numFmtId="200" fontId="6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11" xfId="0" applyNumberFormat="1" applyFont="1" applyFill="1" applyBorder="1"/>
    <x:xf numFmtId="0" fontId="12" fillId="9" borderId="12" xfId="0" applyNumberFormat="1" applyFont="1" applyFill="1" applyBorder="1"/>
    <x:xf numFmtId="0" fontId="12" fillId="9" borderId="13" xfId="0" applyNumberFormat="1" applyFont="1" applyFill="1" applyBorder="1"/>
    <x:xf numFmtId="0" fontId="12" fillId="9" borderId="11" xfId="0" applyNumberFormat="1" applyFont="1" applyFill="1" applyBorder="1" applyAlignment="1">
      <x:alignment wrapText="1"/>
    </x:xf>
    <x:xf numFmtId="0" fontId="12" fillId="9" borderId="12" xfId="0" applyNumberFormat="1" applyFont="1" applyFill="1" applyBorder="1" applyAlignment="1">
      <x:alignment wrapText="1"/>
    </x:xf>
    <x:xf numFmtId="0" fontId="12" fillId="9" borderId="13" xfId="0" applyNumberFormat="1" applyFont="1" applyFill="1" applyBorder="1" applyAlignment="1">
      <x:alignment wrapText="1"/>
    </x:xf>
    <x:xf numFmtId="0" fontId="12" fillId="9" borderId="11" xfId="0" applyNumberFormat="1" applyFont="1" applyFill="1" applyBorder="1" applyAlignment="1">
      <x:alignment horizontal="center" wrapText="1"/>
    </x:xf>
    <x:xf numFmtId="0" fontId="12" fillId="9" borderId="12" xfId="0" applyNumberFormat="1" applyFont="1" applyFill="1" applyBorder="1" applyAlignment="1">
      <x:alignment horizontal="center" wrapText="1"/>
    </x:xf>
    <x:xf numFmtId="0" fontId="12" fillId="9" borderId="13" xfId="0" applyNumberFormat="1" applyFont="1" applyFill="1" applyBorder="1" applyAlignment="1">
      <x:alignment horizontal="center" wrapText="1"/>
    </x:xf>
    <x:xf numFmtId="0" fontId="12" fillId="9" borderId="11" xfId="0" applyNumberFormat="1" applyFont="1" applyFill="1" applyBorder="1" applyAlignment="1">
      <x:alignment horizontal="center" vertical="center" wrapText="1"/>
    </x:xf>
    <x:xf numFmtId="0" fontId="12" fillId="9" borderId="12" xfId="0" applyNumberFormat="1" applyFont="1" applyFill="1" applyBorder="1" applyAlignment="1">
      <x:alignment horizontal="center" vertical="center" wrapText="1"/>
    </x:xf>
    <x:xf numFmtId="0" fontId="12" fillId="9" borderId="13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201" fontId="9" fillId="5" borderId="14" xfId="0" applyNumberFormat="1" applyFont="1" applyFill="1" applyBorder="1" applyAlignment="1">
      <x:alignment vertical="top" wrapText="1"/>
    </x:xf>
    <x:xf numFmtId="201" fontId="9" fillId="5" borderId="15" xfId="0" applyNumberFormat="1" applyFont="1" applyFill="1" applyBorder="1" applyAlignment="1">
      <x:alignment vertical="top" wrapText="1"/>
    </x:xf>
    <x:xf numFmtId="0" fontId="9" fillId="10" borderId="14" xfId="0" applyNumberFormat="1" applyFont="1" applyFill="1" applyBorder="1" applyAlignment="1">
      <x:alignment vertical="top" wrapText="1"/>
    </x:xf>
    <x:xf numFmtId="0" fontId="9" fillId="10" borderId="15" xfId="0" applyNumberFormat="1" applyFont="1" applyFill="1" applyBorder="1" applyAlignment="1">
      <x:alignment vertical="top" wrapText="1"/>
    </x:xf>
    <x:xf numFmtId="202" fontId="9" fillId="10" borderId="14" xfId="0" applyNumberFormat="1" applyFont="1" applyFill="1" applyBorder="1" applyAlignment="1">
      <x:alignment vertical="top" wrapText="1"/>
    </x:xf>
    <x:xf numFmtId="202" fontId="9" fillId="10" borderId="15" xfId="0" applyNumberFormat="1" applyFont="1" applyFill="1" applyBorder="1" applyAlignment="1">
      <x:alignment vertical="top" wrapText="1"/>
    </x:xf>
    <x:xf numFmtId="0" fontId="9" fillId="10" borderId="16" xfId="0" applyNumberFormat="1" applyFont="1" applyFill="1" applyBorder="1" applyAlignment="1">
      <x:alignment vertical="top" wrapText="1"/>
    </x:xf>
    <x:xf numFmtId="0" fontId="9" fillId="10" borderId="17" xfId="0" applyNumberFormat="1" applyFont="1" applyFill="1" applyBorder="1" applyAlignment="1">
      <x:alignment vertical="top" wrapText="1"/>
    </x:xf>
    <x:xf numFmtId="0" fontId="9" fillId="10" borderId="16" xfId="0" applyNumberFormat="1" applyFont="1" applyFill="1" applyBorder="1" applyAlignment="1">
      <x:alignment vertical="center" wrapText="1"/>
    </x:xf>
    <x:xf numFmtId="0" fontId="9" fillId="10" borderId="17" xfId="0" applyNumberFormat="1" applyFont="1" applyFill="1" applyBorder="1" applyAlignment="1">
      <x:alignment vertical="center" wrapText="1"/>
    </x:xf>
    <x:xf numFmtId="202" fontId="9" fillId="10" borderId="16" xfId="0" applyNumberFormat="1" applyFont="1" applyFill="1" applyBorder="1" applyAlignment="1">
      <x:alignment vertical="center" wrapText="1"/>
    </x:xf>
    <x:xf numFmtId="202" fontId="9" fillId="10" borderId="17" xfId="0" applyNumberFormat="1" applyFont="1" applyFill="1" applyBorder="1" applyAlignment="1">
      <x:alignment vertical="center" wrapText="1"/>
    </x:xf>
    <x:xf numFmtId="202" fontId="9" fillId="5" borderId="14" xfId="0" applyNumberFormat="1" applyFont="1" applyFill="1" applyBorder="1" applyAlignment="1">
      <x:alignment vertical="top" wrapText="1"/>
    </x:xf>
    <x:xf numFmtId="202" fontId="9" fillId="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color rgb="FF294765"/>
      </x:font>
      <x:fill>
        <x:patternFill patternType="solid">
          <x:bgColor rgb="FFE8EEF4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color rgb="FF294765"/>
      </x:font>
      <x:fill>
        <x:patternFill patternType="solid">
          <x:bgColor rgb="FFE8EEF4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color rgb="FF294765"/>
      </x:font>
      <x:fill>
        <x:patternFill patternType="solid">
          <x:bgColor rgb="FFE8EEF4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067647"/>
      </x:font>
      <x:fill>
        <x:patternFill patternType="solid">
          <x:bgColor rgb="FFE5F5ED"/>
        </x:patternFill>
      </x:fill>
    </x:dxf>
    <x:dxf>
      <x:font>
        <x:b/>
        <x:color rgb="FF294765"/>
      </x:font>
      <x:fill>
        <x:patternFill patternType="solid">
          <x:bgColor rgb="FFE8EEF4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5a6494492433d" /><Relationship Type="http://schemas.openxmlformats.org/officeDocument/2006/relationships/theme" Target="/xl/theme/theme1.xml" Id="R7f8a88e59c164e5f" /><Relationship Type="http://schemas.openxmlformats.org/officeDocument/2006/relationships/sharedStrings" Target="/xl/sharedStrings.xml" Id="R83963b5aacd64903" /><Relationship Type="http://schemas.openxmlformats.org/officeDocument/2006/relationships/worksheet" Target="/xl/worksheets/sheet1.xml" Id="Rdc59087f0fff4d68" /><Relationship Type="http://schemas.openxmlformats.org/officeDocument/2006/relationships/worksheet" Target="/xl/worksheets/sheet2.xml" Id="Rd762a1f59edf412b" /><Relationship Type="http://schemas.openxmlformats.org/officeDocument/2006/relationships/worksheet" Target="/xl/worksheets/sheet3.xml" Id="R16b9dc2b5ff64559" /><Relationship Type="http://schemas.openxmlformats.org/officeDocument/2006/relationships/worksheet" Target="/xl/worksheets/sheet4.xml" Id="R5b8d924f83df49d0" /><Relationship Type="http://schemas.openxmlformats.org/officeDocument/2006/relationships/worksheet" Target="/xl/worksheets/sheet5.xml" Id="Rb458f427f07945cd" /><Relationship Type="http://schemas.openxmlformats.org/officeDocument/2006/relationships/worksheet" Target="/xl/worksheets/sheet6.xml" Id="R436e79f6584c448e" /><Relationship Type="http://schemas.openxmlformats.org/officeDocument/2006/relationships/worksheet" Target="/xl/worksheets/sheet7.xml" Id="Rd323d86c343a4a23" /><Relationship Type="http://schemas.openxmlformats.org/officeDocument/2006/relationships/worksheet" Target="/xl/worksheets/sheet8.xml" Id="R52a6ffb2356a4e7b" /><Relationship Type="http://schemas.openxmlformats.org/officeDocument/2006/relationships/worksheet" Target="/xl/worksheets/sheet9.xml" Id="R993d13ac1cdc423c" /><Relationship Type="http://schemas.openxmlformats.org/officeDocument/2006/relationships/worksheet" Target="/xl/worksheets/sheet10.xml" Id="R0f2812cca60c436c" /><Relationship Type="http://schemas.openxmlformats.org/officeDocument/2006/relationships/worksheet" Target="/xl/worksheets/sheet11.xml" Id="R67f6d78e9fc54502" /><Relationship Type="http://schemas.openxmlformats.org/officeDocument/2006/relationships/worksheet" Target="/xl/worksheets/sheet12.xml" Id="Rc63cfb651595452e" /><Relationship Type="http://schemas.openxmlformats.org/officeDocument/2006/relationships/worksheet" Target="/xl/worksheets/sheet13.xml" Id="R26d5b8b0f3b946ad" /><Relationship Type="http://schemas.openxmlformats.org/officeDocument/2006/relationships/worksheet" Target="/xl/worksheets/sheet14.xml" Id="R8552e9c68c8242a4" /><Relationship Type="http://schemas.openxmlformats.org/officeDocument/2006/relationships/worksheet" Target="/xl/worksheets/sheet15.xml" Id="Rbb451a037b9c418a" /><Relationship Type="http://schemas.openxmlformats.org/officeDocument/2006/relationships/worksheet" Target="/xl/worksheets/sheet16.xml" Id="Rb2b9234bb1554130" /><Relationship Type="http://schemas.openxmlformats.org/officeDocument/2006/relationships/worksheet" Target="/xl/worksheets/sheet17.xml" Id="Rcf72a499044a47ef" /><Relationship Type="http://schemas.microsoft.com/office/2017/10/relationships/person" Target="/xl/persons/person.xml" Id="Rfd783e3a72154530" /></Relationships>
</file>

<file path=xl/persons/person.xml><?xml version="1.0" encoding="utf-8"?>
<xltc:personList xmlns:xltc="http://schemas.microsoft.com/office/spreadsheetml/2018/threadedcomments">
  <xltc:person displayName="User" id="{95CDEFEC-5DF8-454B-81A7-C8DF6A22F235}"/>
</xltc:personList>
</file>

<file path=xl/tables/table1.xml><?xml version="1.0" encoding="utf-8"?>
<x:table xmlns:x="http://schemas.openxmlformats.org/spreadsheetml/2006/main" id="1" name="QingEmperorsTable" displayName="QingEmperorsTable" ref="A4:S16" headerRowCount="1" totalsRowCount="0" totalsRowShown="0">
  <x:autoFilter ref="A4:S16"/>
  <x:tableColumns count="19">
    <x:tableColumn id="1" name="emperor_id"/>
    <x:tableColumn id="2" name="顺序"/>
    <x:tableColumn id="3" name="规范名"/>
    <x:tableColumn id="4" name="年号或通称"/>
    <x:tableColumn id="5" name="庙号"/>
    <x:tableColumn id="6" name="生年"/>
    <x:tableColumn id="7" name="卒年"/>
    <x:tableColumn id="8" name="在位起"/>
    <x:tableColumn id="9" name="在位止"/>
    <x:tableColumn id="10" name="父亲"/>
    <x:tableColumn id="11" name="母亲"/>
    <x:tableColumn id="12" name="前任"/>
    <x:tableColumn id="13" name="继任"/>
    <x:tableColumn id="14" name="陵寝"/>
    <x:tableColumn id="15" name="清史稿本纪"/>
    <x:tableColumn id="16" name="清实录入口"/>
    <x:tableColumn id="17" name="故宫人物页"/>
    <x:tableColumn id="18" name="页面状态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erorSourceIndexTable" displayName="EmperorSourceIndexTable" ref="A4:J22" headerRowCount="1" totalsRowCount="0" totalsRowShown="0">
  <x:autoFilter ref="A4:J22"/>
  <x:tableColumns count="10">
    <x:tableColumn id="1" name="index_id"/>
    <x:tableColumn id="2" name="emperor_id"/>
    <x:tableColumn id="3" name="资源名称"/>
    <x:tableColumn id="4" name="资源类型"/>
    <x:tableColumn id="5" name="卷次或范围"/>
    <x:tableColumn id="6" name="访问网址"/>
    <x:tableColumn id="7" name="证据用途"/>
    <x:tableColumn id="8" name="再利用策略"/>
    <x:tableColumn id="9" name="核查日期"/>
    <x:tableColumn id="10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erorPortraitsTable" displayName="EmperorPortraitsTable" ref="A4:Q16" headerRowCount="1" totalsRowCount="0" totalsRowShown="0">
  <x:autoFilter ref="A4:Q16"/>
  <x:tableColumns count="17">
    <x:tableColumn id="1" name="visual_id"/>
    <x:tableColumn id="2" name="emperor_id"/>
    <x:tableColumn id="3" name="人物"/>
    <x:tableColumn id="4" name="对象标题"/>
    <x:tableColumn id="5" name="图像性质"/>
    <x:tableColumn id="6" name="制作年代或摄影日期"/>
    <x:tableColumn id="7" name="作者或摄影者"/>
    <x:tableColumn id="8" name="文件页"/>
    <x:tableColumn id="9" name="预览文件"/>
    <x:tableColumn id="10" name="文件页标示许可"/>
    <x:tableColumn id="11" name="权利颜色"/>
    <x:tableColumn id="12" name="可本地保存"/>
    <x:tableColumn id="13" name="可公开展示"/>
    <x:tableColumn id="14" name="对象认定状态"/>
    <x:tableColumn id="15" name="核查日期"/>
    <x:tableColumn id="16" name="使用说明"/>
    <x:tableColumn id="17" name="待核问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sistentTaskQueueTable" displayName="PersistentTaskQueueTable" ref="A4:M29" headerRowCount="1" totalsRowCount="0" totalsRowShown="0">
  <x:autoFilter ref="A4:M29"/>
  <x:tableColumns count="13">
    <x:tableColumn id="1" name="task_id"/>
    <x:tableColumn id="2" name="emperor_id"/>
    <x:tableColumn id="3" name="数据包"/>
    <x:tableColumn id="4" name="任务"/>
    <x:tableColumn id="5" name="目标来源"/>
    <x:tableColumn id="6" name="预期产物"/>
    <x:tableColumn id="7" name="前置任务"/>
    <x:tableColumn id="8" name="状态"/>
    <x:tableColumn id="9" name="上次完成位置"/>
    <x:tableColumn id="10" name="未决问题"/>
    <x:tableColumn id="11" name="下一步动作"/>
    <x:tableColumn id="12" name="优先级"/>
    <x:tableColumn id="13" name="质量检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tityIdCrosswalkTable" displayName="EntityIdCrosswalkTable" ref="A4:F16" headerRowCount="1" totalsRowCount="0" totalsRowShown="0">
  <x:autoFilter ref="A4:F16"/>
  <x:tableColumns count="6">
    <x:tableColumn id="1" name="entity_role"/>
    <x:tableColumn id="2" name="person_id"/>
    <x:tableColumn id="3" name="legacy_emperor_id"/>
    <x:tableColumn id="4" name="canonical_name"/>
    <x:tableColumn id="5" name="status"/>
    <x:tableColumn id="6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ingEmperorResearchCardsTable" displayName="QingEmperorResearchCardsTable" ref="A4:R16" headerRowCount="1" totalsRowCount="0" totalsRowShown="0">
  <x:autoFilter ref="A4:R16"/>
  <x:tableColumns count="18">
    <x:tableColumn id="1" name="person_id"/>
    <x:tableColumn id="2" name="legacy_emperor_id"/>
    <x:tableColumn id="3" name="姓名"/>
    <x:tableColumn id="4" name="庙号"/>
    <x:tableColumn id="5" name="年号"/>
    <x:tableColumn id="6" name="在位口径"/>
    <x:tableColumn id="7" name="父亲"/>
    <x:tableColumn id="8" name="生母或母系说明"/>
    <x:tableColumn id="9" name="主要皇后或配偶候选"/>
    <x:tableColumn id="10" name="主要子女候选"/>
    <x:tableColumn id="11" name="重大事件骨架"/>
    <x:tableColumn id="12" name="必须保留的争议或边界"/>
    <x:tableColumn id="13" name="清史稿本纪"/>
    <x:tableColumn id="14" name="实录或政纪卷数"/>
    <x:tableColumn id="15" name="故宫人物页"/>
    <x:tableColumn id="16" name="证据状态"/>
    <x:tableColumn id="17" name="审核层级"/>
    <x:tableColumn id="18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angxiSourceUnitsTable" displayName="KangxiSourceUnitsTable" ref="A4:M6" headerRowCount="1" totalsRowCount="0" totalsRowShown="0">
  <x:autoFilter ref="A4:M6"/>
  <x:tableColumns count="13">
    <x:tableColumn id="1" name="source_unit_id"/>
    <x:tableColumn id="2" name="source_entity_id"/>
    <x:tableColumn id="3" name="史料名"/>
    <x:tableColumn id="4" name="卷次"/>
    <x:tableColumn id="5" name="原纪年"/>
    <x:tableColumn id="6" name="网页公历标示"/>
    <x:tableColumn id="7" name="当日条次"/>
    <x:tableColumn id="8" name="直接记录网址"/>
    <x:tableColumn id="9" name="数字底本说明"/>
    <x:tableColumn id="10" name="证据等级"/>
    <x:tableColumn id="11" name="权利策略"/>
    <x:tableColumn id="12" name="核查日期"/>
    <x:tableColumn id="13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ixBatchPlanTable" displayName="SixBatchPlanTable" ref="A4:K22" headerRowCount="1" totalsRowCount="0" totalsRowShown="0">
  <x:autoFilter ref="A4:K22"/>
  <x:tableColumns count="11">
    <x:tableColumn id="1" name="任务 ID"/>
    <x:tableColumn id="2" name="批次"/>
    <x:tableColumn id="3" name="工作流"/>
    <x:tableColumn id="4" name="任务"/>
    <x:tableColumn id="5" name="完成定义"/>
    <x:tableColumn id="6" name="优先级"/>
    <x:tableColumn id="7" name="状态"/>
    <x:tableColumn id="8" name="责任人"/>
    <x:tableColumn id="9" name="开始日期"/>
    <x:tableColumn id="10" name="截止日期"/>
    <x:tableColumn id="11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hase0PeopleTable" displayName="Phase0PeopleTable" ref="A4:M54" headerRowCount="1" totalsRowCount="0" totalsRowShown="0">
  <x:autoFilter ref="A4:M54"/>
  <x:tableColumns count="13">
    <x:tableColumn id="1" name="person_id"/>
    <x:tableColumn id="2" name="序号"/>
    <x:tableColumn id="3" name="分组"/>
    <x:tableColumn id="4" name="规范名"/>
    <x:tableColumn id="5" name="常用名或异名"/>
    <x:tableColumn id="6" name="人物类型"/>
    <x:tableColumn id="7" name="优先级"/>
    <x:tableColumn id="8" name="选择理由"/>
    <x:tableColumn id="9" name="核心待核主张"/>
    <x:tableColumn id="10" name="首要史料入口"/>
    <x:tableColumn id="11" name="工作状态"/>
    <x:tableColumn id="12" name="责任人"/>
    <x:tableColumn id="13" name="审核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RightsTable" displayName="SourceRightsTable" ref="A4:S31" headerRowCount="1" totalsRowCount="0" totalsRowShown="0">
  <x:autoFilter ref="A4:S31"/>
  <x:tableColumns count="19">
    <x:tableColumn id="1" name="source_id"/>
    <x:tableColumn id="2" name="机构或资源"/>
    <x:tableColumn id="3" name="资源类型"/>
    <x:tableColumn id="4" name="证据等级"/>
    <x:tableColumn id="5" name="核心内容"/>
    <x:tableColumn id="6" name="访问方式"/>
    <x:tableColumn id="7" name="权利颜色"/>
    <x:tableColumn id="8" name="可本地保存"/>
    <x:tableColumn id="9" name="可公开展示"/>
    <x:tableColumn id="10" name="可商业使用"/>
    <x:tableColumn id="11" name="可模型训练"/>
    <x:tableColumn id="12" name="使用策略"/>
    <x:tableColumn id="13" name="限制摘要"/>
    <x:tableColumn id="14" name="资源网址"/>
    <x:tableColumn id="15" name="权利或规则网址"/>
    <x:tableColumn id="16" name="核查日期"/>
    <x:tableColumn id="17" name="下一动作"/>
    <x:tableColumn id="18" name="责任角色"/>
    <x:tableColumn id="19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laimsWorkbenchTable" displayName="ClaimsWorkbenchTable" ref="A4:V204" headerRowCount="1" totalsRowCount="0" totalsRowShown="0">
  <x:autoFilter ref="A4:V204"/>
  <x:tableColumns count="22">
    <x:tableColumn id="1" name="Assertion ID"/>
    <x:tableColumn id="2" name="主张类型"/>
    <x:tableColumn id="3" name="主体 ID"/>
    <x:tableColumn id="4" name="谓词/关系"/>
    <x:tableColumn id="5" name="客体 ID 或值"/>
    <x:tableColumn id="6" name="原始时间表达"/>
    <x:tableColumn id="7" name="公历下界"/>
    <x:tableColumn id="8" name="公历上界"/>
    <x:tableColumn id="9" name="确定性"/>
    <x:tableColumn id="10" name="状态"/>
    <x:tableColumn id="11" name="来源实体 ID"/>
    <x:tableColumn id="12" name="卷页/档号/图像定位"/>
    <x:tableColumn id="13" name="支持引文"/>
    <x:tableColumn id="14" name="证据立场"/>
    <x:tableColumn id="15" name="证据直接性"/>
    <x:tableColumn id="16" name="证据强度"/>
    <x:tableColumn id="17" name="来源家族 ID"/>
    <x:tableColumn id="18" name="冲突组 ID"/>
    <x:tableColumn id="19" name="获取方式"/>
    <x:tableColumn id="20" name="录入人"/>
    <x:tableColumn id="21" name="复核人"/>
    <x:tableColumn id="22" name="编辑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lationshipsWorkbenchTable" displayName="RelationshipsWorkbenchTable" ref="A4:Q124" headerRowCount="1" totalsRowCount="0" totalsRowShown="0">
  <x:autoFilter ref="A4:Q124"/>
  <x:tableColumns count="17">
    <x:tableColumn id="1" name="Assertion ID"/>
    <x:tableColumn id="2" name="主体人物 ID"/>
    <x:tableColumn id="3" name="主体名"/>
    <x:tableColumn id="4" name="关系类型代码"/>
    <x:tableColumn id="5" name="关系中文标签"/>
    <x:tableColumn id="6" name="客体人物 ID"/>
    <x:tableColumn id="7" name="客体名"/>
    <x:tableColumn id="8" name="有效起始"/>
    <x:tableColumn id="9" name="有效结束"/>
    <x:tableColumn id="10" name="排行数值"/>
    <x:tableColumn id="11" name="排行口径"/>
    <x:tableColumn id="12" name="来源实体 ID"/>
    <x:tableColumn id="13" name="精确定位"/>
    <x:tableColumn id="14" name="证据状态"/>
    <x:tableColumn id="15" name="主张状态"/>
    <x:tableColumn id="16" name="复核人"/>
    <x:tableColumn id="17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magesWorkbenchTable" displayName="ImagesWorkbenchTable" ref="A4:S104" headerRowCount="1" totalsRowCount="0" totalsRowShown="0">
  <x:autoFilter ref="A4:S104"/>
  <x:tableColumns count="19">
    <x:tableColumn id="1" name="Visual ID"/>
    <x:tableColumn id="2" name="对象标题"/>
    <x:tableColumn id="3" name="图像性质"/>
    <x:tableColumn id="4" name="馆藏机构"/>
    <x:tableColumn id="5" name="馆藏号"/>
    <x:tableColumn id="6" name="人物 ID"/>
    <x:tableColumn id="7" name="人物认定类型"/>
    <x:tableColumn id="8" name="制作时间"/>
    <x:tableColumn id="9" name="来源网址"/>
    <x:tableColumn id="10" name="权利颜色"/>
    <x:tableColumn id="11" name="权利 URI/许可"/>
    <x:tableColumn id="12" name="署名要求"/>
    <x:tableColumn id="13" name="可本地保存"/>
    <x:tableColumn id="14" name="可公开展示"/>
    <x:tableColumn id="15" name="可商业使用"/>
    <x:tableColumn id="16" name="撤下日期"/>
    <x:tableColumn id="17" name="责任人"/>
    <x:tableColumn id="18" name="审核状态"/>
    <x:tableColumn id="19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ecisionLogTable" displayName="DecisionLogTable" ref="A4:K13" headerRowCount="1" totalsRowCount="0" totalsRowShown="0">
  <x:autoFilter ref="A4:K13"/>
  <x:tableColumns count="11">
    <x:tableColumn id="1" name="决策 ID"/>
    <x:tableColumn id="2" name="日期"/>
    <x:tableColumn id="3" name="问题"/>
    <x:tableColumn id="4" name="考虑的选项"/>
    <x:tableColumn id="5" name="最终决定"/>
    <x:tableColumn id="6" name="理由与证据"/>
    <x:tableColumn id="7" name="决策人"/>
    <x:tableColumn id="8" name="影响"/>
    <x:tableColumn id="9" name="复核触发器"/>
    <x:tableColumn id="10" name="状态"/>
    <x:tableColumn id="11" name="备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iskRegisterTable" displayName="RiskRegisterTable" ref="A4:J22" headerRowCount="1" totalsRowCount="0" totalsRowShown="0">
  <x:autoFilter ref="A4:J22"/>
  <x:tableColumns count="10">
    <x:tableColumn id="1" name="风险 ID"/>
    <x:tableColumn id="2" name="风险"/>
    <x:tableColumn id="3" name="概率 P"/>
    <x:tableColumn id="4" name="影响 I"/>
    <x:tableColumn id="5" name="分数"/>
    <x:tableColumn id="6" name="早期触发信号"/>
    <x:tableColumn id="7" name="应对措施"/>
    <x:tableColumn id="8" name="责任角色"/>
    <x:tableColumn id="9" name="状态"/>
    <x:tableColumn id="10" name="截止/复核日期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ntrolledVocabulariesTable" displayName="ControlledVocabulariesTable" ref="A4:J129" headerRowCount="1" totalsRowCount="0" totalsRowShown="0">
  <x:autoFilter ref="A4:J129"/>
  <x:tableColumns count="10">
    <x:tableColumn id="1" name="scheme_code"/>
    <x:tableColumn id="2" name="scheme_label"/>
    <x:tableColumn id="3" name="term_code"/>
    <x:tableColumn id="4" name="中文标签"/>
    <x:tableColumn id="5" name="英文标签"/>
    <x:tableColumn id="6" name="定义"/>
    <x:tableColumn id="7" name="上位词"/>
    <x:tableColumn id="8" name="逆关系"/>
    <x:tableColumn id="9" name="是否启用"/>
    <x:tableColumn id="10" name="排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4" dT="2026-08-12T13:54:21.933" personId="{95CDEFEC-5DF8-454B-81A7-C8DF6A22F235}" id="{8E477BA4-C2A6-19E4-2494-35D9B25E5698}">
    <xltc:text>Commons 分类页不能替代逐文件许可页；许可状态变化时应重新核查并能撤下本地文件。 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H4" dT="2026-08-12T13:54:21.933" personId="{95CDEFEC-5DF8-454B-81A7-C8DF6A22F235}" id="{48BAAA7A-8F80-3CD9-9B34-D646998D5B32}">
    <xltc:text>任务状态以磁盘台账为准；每轮工作结束必须更新完成位置、未决问题和下一动作。 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G4" dT="2026-08-12T13:54:21.933" personId="{95CDEFEC-5DF8-454B-81A7-C8DF6A22F235}" id="{769C97DB-3D02-0E87-3F4C-19033E2A8DD4}">
    <xltc:text>绿色也必须逐对象核对许可；机构有 Open Data 不代表该机构所有图像和档案均开放。 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J4" dT="2026-08-12T13:54:21.932" personId="{95CDEFEC-5DF8-454B-81A7-C8DF6A22F235}" id="{6C34240C-8731-BA14-4254-7B1D508B0BA3}">
    <xltc:text>只有已采纳或有争议且完成规定复核的主张才可进入正式产品视图；AI 不得自行改变此列。 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D4" dT="2026-08-12T13:54:21.933" personId="{95CDEFEC-5DF8-454B-81A7-C8DF6A22F235}" id="{C9F27F46-B157-A680-0C19-9B9CAB3FFC87}">
    <xltc:text>不要使用笼统的“母亲”关系。至少区分生母、嫡母/法定母、礼仪母、正式收养与抚育者。 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0d71cbf525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19bdf4a642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3709fdd23bce4085" /><Relationship Type="http://schemas.openxmlformats.org/officeDocument/2006/relationships/vmlDrawing" Target="/xl/drawings/vmldrawing.vml" Id="Rb2db8f8912bf46d8" /><Relationship Type="http://schemas.microsoft.com/office/2017/10/relationships/threadedComment" Target="/xl/threadedcomments/threadedcomment.xml" Id="Rb3f0d20e67554ce1" /><Relationship Type="http://schemas.openxmlformats.org/officeDocument/2006/relationships/table" Target="/xl/tables/table3.xml" Id="Rf98c1236c37945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b91430fb302c4c0d" /><Relationship Type="http://schemas.openxmlformats.org/officeDocument/2006/relationships/vmlDrawing" Target="/xl/drawings/vmldrawing2.vml" Id="R6b6c78fa67ed41f3" /><Relationship Type="http://schemas.microsoft.com/office/2017/10/relationships/threadedComment" Target="/xl/threadedcomments/threadedcomment2.xml" Id="R598bc331671f4e79" /><Relationship Type="http://schemas.openxmlformats.org/officeDocument/2006/relationships/table" Target="/xl/tables/table4.xml" Id="R297dee8b187b41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792c8c367b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65a415fd9b4b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23999b6bd94f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afb60cec274a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7c3c9ebcf8844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3.xml" Id="R70ae4e5063b14049" /><Relationship Type="http://schemas.openxmlformats.org/officeDocument/2006/relationships/vmlDrawing" Target="/xl/drawings/vmldrawing3.vml" Id="R4e94ee42909b4964" /><Relationship Type="http://schemas.microsoft.com/office/2017/10/relationships/threadedComment" Target="/xl/threadedcomments/threadedcomment3.xml" Id="R20123cbea54d40d8" /><Relationship Type="http://schemas.openxmlformats.org/officeDocument/2006/relationships/table" Target="/xl/tables/table10.xml" Id="R056280e0833548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4.xml" Id="R66cf71cc31c04091" /><Relationship Type="http://schemas.openxmlformats.org/officeDocument/2006/relationships/vmlDrawing" Target="/xl/drawings/vmldrawing4.vml" Id="R56d006c615f44f23" /><Relationship Type="http://schemas.microsoft.com/office/2017/10/relationships/threadedComment" Target="/xl/threadedcomments/threadedcomment4.xml" Id="R54ff83adb22340d5" /><Relationship Type="http://schemas.openxmlformats.org/officeDocument/2006/relationships/table" Target="/xl/tables/table11.xml" Id="Rec60e870ded447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5.xml" Id="Rcd82bc456e6c4887" /><Relationship Type="http://schemas.openxmlformats.org/officeDocument/2006/relationships/vmlDrawing" Target="/xl/drawings/vmldrawing5.vml" Id="Rf64c6938800d4457" /><Relationship Type="http://schemas.microsoft.com/office/2017/10/relationships/threadedComment" Target="/xl/threadedcomments/threadedcomment5.xml" Id="Reb04c425f50b45f9" /><Relationship Type="http://schemas.openxmlformats.org/officeDocument/2006/relationships/table" Target="/xl/tables/table12.xml" Id="Racde554e1c5c41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5c911f5a95b44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d85008f860d4b8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750c6fb527046f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fe2162e5e3a45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7" hidden="0" customWidth="1"/>
    <x:col min="8" max="8" width="13" hidden="0" customWidth="1"/>
    <x:col min="9" max="9" width="13" hidden="0" customWidth="1"/>
    <x:col min="10" max="10" width="18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清史证据库 · 零预算工作台</x:v>
      </x:c>
    </x:row>
    <x:row r="2" ht="24" customHeight="1">
      <x:c r="A2" s="6" t="str">
        <x:v>范围：十二帝骨架＋康熙样卷持续深挖｜现金预算0元｜所有关键事实必须回到具体版本、卷页、档号或逐文件许可页</x:v>
      </x:c>
    </x:row>
    <x:row r="4" ht="34" customHeight="1">
      <x:c r="A4" s="10" t="str">
        <x:v>执行状态：零预算持续生产已启动。十二帝骨架、史料入口和首批画像台账已落盘；未经来源回查的内容始终标为候选或待核。</x:v>
      </x:c>
    </x:row>
    <x:row r="6">
      <x:c r="A6" s="16" t="str">
        <x:v>十二帝骨架</x:v>
      </x:c>
      <x:c r="B6" s="17" t="str">
        <x:v>十二帝骨架</x:v>
      </x:c>
      <x:c r="D6" s="16" t="str">
        <x:v>来源台账</x:v>
      </x:c>
      <x:c r="E6" s="17" t="str">
        <x:v>来源台账</x:v>
      </x:c>
      <x:c r="G6" s="16" t="str">
        <x:v>画像候选</x:v>
      </x:c>
      <x:c r="H6" s="17" t="str">
        <x:v>画像候选</x:v>
      </x:c>
      <x:c r="J6" s="16" t="str">
        <x:v>任务总数</x:v>
      </x:c>
      <x:c r="K6" s="17" t="str">
        <x:v>任务总数</x:v>
      </x:c>
    </x:row>
    <x:row r="7">
      <x:c r="A7" s="32" t="n">
        <x:f>COUNTA('十二帝总档'!$A$5:$A$16)</x:f>
        <x:v>12</x:v>
      </x:c>
      <x:c r="B7" s="33"/>
      <x:c r="D7" s="32" t="n">
        <x:f>COUNTA('来源版权台账'!$A$5:$A$31)</x:f>
        <x:v>27</x:v>
      </x:c>
      <x:c r="E7" s="33"/>
      <x:c r="G7" s="32" t="n">
        <x:f>COUNTA('十二帝画像'!$A$5:$A$16)</x:f>
        <x:v>12</x:v>
      </x:c>
      <x:c r="H7" s="33"/>
      <x:c r="J7" s="32" t="n">
        <x:f>COUNTA('持续任务队列'!$A$5:$A$29)</x:f>
        <x:v>25</x:v>
      </x:c>
      <x:c r="K7" s="33"/>
    </x:row>
    <x:row r="8">
      <x:c r="A8" s="34"/>
      <x:c r="B8" s="35"/>
      <x:c r="D8" s="34"/>
      <x:c r="E8" s="35"/>
      <x:c r="G8" s="34"/>
      <x:c r="H8" s="35"/>
      <x:c r="J8" s="34"/>
      <x:c r="K8" s="35"/>
    </x:row>
    <x:row r="9">
      <x:c r="A9" s="16" t="str">
        <x:v>康雍候选人物</x:v>
      </x:c>
      <x:c r="B9" s="17" t="str">
        <x:v>康雍候选人物</x:v>
      </x:c>
      <x:c r="D9" s="16" t="str">
        <x:v>绿色来源</x:v>
      </x:c>
      <x:c r="E9" s="17" t="str">
        <x:v>绿色来源</x:v>
      </x:c>
      <x:c r="G9" s="16" t="str">
        <x:v>可展示画像</x:v>
      </x:c>
      <x:c r="H9" s="17" t="str">
        <x:v>可展示画像</x:v>
      </x:c>
      <x:c r="J9" s="16" t="str">
        <x:v>来源回查主张</x:v>
      </x:c>
      <x:c r="K9" s="17" t="str">
        <x:v>来源回查主张</x:v>
      </x:c>
    </x:row>
    <x:row r="10">
      <x:c r="A10" s="32" t="n">
        <x:f>COUNTA('康雍50人'!$A$5:$A$54)</x:f>
        <x:v>50</x:v>
      </x:c>
      <x:c r="B10" s="33"/>
      <x:c r="D10" s="32" t="n">
        <x:f>COUNTIF('来源版权台账'!$G$5:$G$31,"绿")</x:f>
        <x:v>3</x:v>
      </x:c>
      <x:c r="E10" s="33"/>
      <x:c r="G10" s="32" t="n">
        <x:f>COUNTIF('十二帝画像'!$L$5:$L$16,"是")</x:f>
        <x:v>12</x:v>
      </x:c>
      <x:c r="H10" s="33"/>
      <x:c r="J10" s="32" t="n">
        <x:f>COUNTIF('主张工作台'!$J$5:$J$204,"审核中")</x:f>
        <x:v>28</x:v>
      </x:c>
      <x:c r="K10" s="33"/>
    </x:row>
    <x:row r="11">
      <x:c r="A11" s="34"/>
      <x:c r="B11" s="35"/>
      <x:c r="D11" s="34"/>
      <x:c r="E11" s="35"/>
      <x:c r="G11" s="34"/>
      <x:c r="H11" s="35"/>
      <x:c r="J11" s="34"/>
      <x:c r="K11" s="35"/>
    </x:row>
    <x:row r="12">
      <x:c r="A12" s="42" t="str">
        <x:v>任务已完成</x:v>
      </x:c>
      <x:c r="B12" s="43" t="str">
        <x:v>任务已完成</x:v>
      </x:c>
      <x:c r="D12" s="42" t="str">
        <x:v>阻塞任务</x:v>
      </x:c>
      <x:c r="E12" s="43" t="str">
        <x:v>阻塞任务</x:v>
      </x:c>
      <x:c r="G12" s="42" t="str">
        <x:v>高风险项</x:v>
      </x:c>
      <x:c r="H12" s="43" t="str">
        <x:v>高风险项</x:v>
      </x:c>
      <x:c r="J12" s="42" t="str">
        <x:v>有争议主张</x:v>
      </x:c>
      <x:c r="K12" s="43" t="str">
        <x:v>有争议主张</x:v>
      </x:c>
    </x:row>
    <x:row r="13">
      <x:c r="A13" s="57" t="n">
        <x:f>COUNTIF('持续任务队列'!$H$5:$H$29,"已完成")</x:f>
        <x:v>5</x:v>
      </x:c>
      <x:c r="B13" s="58"/>
      <x:c r="D13" s="57" t="n">
        <x:f>COUNTIF('持续任务队列'!$H$5:$H$29,"阻塞")</x:f>
        <x:v>0</x:v>
      </x:c>
      <x:c r="E13" s="58"/>
      <x:c r="G13" s="57" t="n">
        <x:f>COUNTIF('风险登记'!$E$5:$E$22,"&gt;=15")</x:f>
        <x:v>12</x:v>
      </x:c>
      <x:c r="H13" s="58"/>
      <x:c r="J13" s="57" t="n">
        <x:f>COUNTIF('主张工作台'!$J$5:$J$204,"有争议")</x:f>
        <x:v>0</x:v>
      </x:c>
      <x:c r="K13" s="58"/>
    </x:row>
    <x:row r="14">
      <x:c r="A14" s="59"/>
      <x:c r="B14" s="60"/>
      <x:c r="D14" s="59"/>
      <x:c r="E14" s="60"/>
      <x:c r="G14" s="59"/>
      <x:c r="H14" s="60"/>
      <x:c r="J14" s="59"/>
      <x:c r="K14" s="60"/>
    </x:row>
    <x:row r="16">
      <x:c r="A16" s="62" t="str">
        <x:v>质量门与操作入口</x:v>
      </x:c>
    </x:row>
    <x:row r="17" ht="28" customHeight="1">
      <x:c r="A17" s="68" t="str">
        <x:v>门槛</x:v>
      </x:c>
      <x:c r="B17" s="69" t="str">
        <x:v>当前判定</x:v>
      </x:c>
      <x:c r="C17" s="69" t="str">
        <x:v>操作入口</x:v>
      </x:c>
      <x:c r="D17" s="69" t="str">
        <x:v>检查重点</x:v>
      </x:c>
      <x:c r="E17" s="69"/>
      <x:c r="F17" s="69"/>
      <x:c r="G17" s="69" t="str">
        <x:v>门槛</x:v>
      </x:c>
      <x:c r="H17" s="69" t="str">
        <x:v>当前判定</x:v>
      </x:c>
      <x:c r="I17" s="69" t="str">
        <x:v>操作入口</x:v>
      </x:c>
      <x:c r="J17" s="69" t="str">
        <x:v>检查重点</x:v>
      </x:c>
      <x:c r="K17" s="69"/>
      <x:c r="L17" s="70"/>
    </x:row>
    <x:row r="18" ht="28" customHeight="1">
      <x:c r="A18" s="71" t="str">
        <x:v>十二帝骨架</x:v>
      </x:c>
      <x:c r="B18" s="76" t="str">
        <x:v>12/12已建</x:v>
      </x:c>
      <x:c r="C18" s="67" t="str">
        <x:v>十二帝总档</x:v>
      </x:c>
      <x:c r="D18" s="67" t="str">
        <x:v>本纪卷次已校正；日期和称号继续细化</x:v>
      </x:c>
      <x:c r="E18" s="67"/>
      <x:c r="F18" s="67"/>
      <x:c r="G18" s="67" t="str">
        <x:v>首批画像</x:v>
      </x:c>
      <x:c r="H18" s="76" t="str">
        <x:v>12/12已登记</x:v>
      </x:c>
      <x:c r="I18" s="67" t="str">
        <x:v>十二帝画像</x:v>
      </x:c>
      <x:c r="J18" s="67" t="str">
        <x:v>逐文件公版；人物认定和馆藏号仍需回查</x:v>
      </x:c>
      <x:c r="K18" s="67"/>
      <x:c r="L18" s="72"/>
    </x:row>
    <x:row r="19" ht="28" customHeight="1">
      <x:c r="A19" s="71" t="str">
        <x:v>120 条核验主张</x:v>
      </x:c>
      <x:c r="B19" s="76" t="str">
        <x:v>28/120 审核中</x:v>
      </x:c>
      <x:c r="C19" s="67" t="str">
        <x:v>主张工作台</x:v>
      </x:c>
      <x:c r="D19" s="67" t="str">
        <x:v>已定位卷1即位条与卷300遗诏条；待用户抽查</x:v>
      </x:c>
      <x:c r="E19" s="67"/>
      <x:c r="F19" s="67"/>
      <x:c r="G19" s="67" t="str">
        <x:v>60 条关系</x:v>
      </x:c>
      <x:c r="H19" s="76" t="str">
        <x:v>尚未开始</x:v>
      </x:c>
      <x:c r="I19" s="67" t="str">
        <x:v>关系工作台</x:v>
      </x:c>
      <x:c r="J19" s="67" t="str">
        <x:v>每条边一条证据；关系类型不可混写</x:v>
      </x:c>
      <x:c r="K19" s="67"/>
      <x:c r="L19" s="72"/>
    </x:row>
    <x:row r="20" ht="28" customHeight="1">
      <x:c r="A20" s="71" t="str">
        <x:v>50 人候选</x:v>
      </x:c>
      <x:c r="B20" s="76" t="str">
        <x:v>已建待回查</x:v>
      </x:c>
      <x:c r="C20" s="67" t="str">
        <x:v>康雍50人</x:v>
      </x:c>
      <x:c r="D20" s="67" t="str">
        <x:v>人物仍须逐条取证，不能视为已证实</x:v>
      </x:c>
      <x:c r="E20" s="67"/>
      <x:c r="F20" s="67"/>
      <x:c r="G20" s="67" t="str">
        <x:v>18 个风险</x:v>
      </x:c>
      <x:c r="H20" s="76" t="str">
        <x:v>均已登记</x:v>
      </x:c>
      <x:c r="I20" s="67" t="str">
        <x:v>风险登记</x:v>
      </x:c>
      <x:c r="J20" s="67" t="str">
        <x:v>高风险由AI复查并进入用户抽查</x:v>
      </x:c>
      <x:c r="K20" s="67"/>
      <x:c r="L20" s="72"/>
    </x:row>
    <x:row r="21" ht="28" customHeight="1">
      <x:c r="A21" s="71" t="str">
        <x:v>持续任务</x:v>
      </x:c>
      <x:c r="B21" s="76" t="str">
        <x:v>磁盘队列已建</x:v>
      </x:c>
      <x:c r="C21" s="67" t="str">
        <x:v>持续任务队列</x:v>
      </x:c>
      <x:c r="D21" s="67" t="str">
        <x:v>每轮记录完成位置、未决问题和下一动作</x:v>
      </x:c>
      <x:c r="E21" s="67"/>
      <x:c r="F21" s="67"/>
      <x:c r="G21" s="67" t="str">
        <x:v>资料边界</x:v>
      </x:c>
      <x:c r="H21" s="76" t="str">
        <x:v>外链优先</x:v>
      </x:c>
      <x:c r="I21" s="67" t="str">
        <x:v>来源版权台账</x:v>
      </x:c>
      <x:c r="J21" s="67" t="str">
        <x:v>免费可看不等于允许镜像</x:v>
      </x:c>
      <x:c r="K21" s="67"/>
      <x:c r="L21" s="72"/>
    </x:row>
    <x:row r="22" ht="28" customHeight="1">
      <x:c r="A22" s="73" t="str">
        <x:v>现金预算</x:v>
      </x:c>
      <x:c r="B22" s="77" t="str">
        <x:v>0 元</x:v>
      </x:c>
      <x:c r="C22" s="74" t="str">
        <x:v>项目章程</x:v>
      </x:c>
      <x:c r="D22" s="74" t="str">
        <x:v>不买数据库、图片、服务器或商业API</x:v>
      </x:c>
      <x:c r="E22" s="74"/>
      <x:c r="F22" s="74"/>
      <x:c r="G22" s="74" t="str">
        <x:v>产品形态</x:v>
      </x:c>
      <x:c r="H22" s="77" t="str">
        <x:v>个人研究库</x:v>
      </x:c>
      <x:c r="I22" s="74" t="str">
        <x:v>信息架构</x:v>
      </x:c>
      <x:c r="J22" s="74" t="str">
        <x:v>不是权威专家审定库；错误可修订</x:v>
      </x:c>
      <x:c r="K22" s="74"/>
      <x:c r="L22" s="75"/>
    </x:row>
    <x:row r="23">
      <x:c r="A23" s="80" t="str">
        <x:v>本工作簿是执行台账，不是史料本身；来源回查、权利许可和不确定性状态见各数据表与 docs。</x:v>
      </x:c>
    </x:row>
  </x:sheetData>
  <x:mergeCells>
    <x:mergeCell ref="A1:L1"/>
    <x:mergeCell ref="A2:L2"/>
    <x:mergeCell ref="A4:L4"/>
    <x:mergeCell ref="A6:B6"/>
    <x:mergeCell ref="A7:B8"/>
    <x:mergeCell ref="D6:E6"/>
    <x:mergeCell ref="D7:E8"/>
    <x:mergeCell ref="G6:H6"/>
    <x:mergeCell ref="G7:H8"/>
    <x:mergeCell ref="J6:K6"/>
    <x:mergeCell ref="J7:K8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A12:B12"/>
    <x:mergeCell ref="A13:B14"/>
    <x:mergeCell ref="D12:E12"/>
    <x:mergeCell ref="D13:E14"/>
    <x:mergeCell ref="G12:H12"/>
    <x:mergeCell ref="G13:H14"/>
    <x:mergeCell ref="J12:K12"/>
    <x:mergeCell ref="J13:K14"/>
    <x:mergeCell ref="A16:L16"/>
    <x:mergeCell ref="A23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" hidden="0" customWidth="1"/>
    <x:col min="3" max="3" width="24" hidden="0" customWidth="1"/>
    <x:col min="4" max="4" width="18" hidden="0" customWidth="1"/>
    <x:col min="5" max="5" width="10" hidden="0" customWidth="1"/>
    <x:col min="6" max="6" width="9" hidden="0" customWidth="1"/>
    <x:col min="7" max="7" width="9" hidden="0" customWidth="1"/>
    <x:col min="8" max="8" width="10" hidden="0" customWidth="1"/>
    <x:col min="9" max="9" width="10" hidden="0" customWidth="1"/>
    <x:col min="10" max="10" width="24" hidden="0" customWidth="1"/>
    <x:col min="11" max="11" width="28" hidden="0" customWidth="1"/>
    <x:col min="12" max="12" width="24" hidden="0" customWidth="1"/>
    <x:col min="13" max="13" width="24" hidden="0" customWidth="1"/>
    <x:col min="14" max="14" width="20" hidden="0" customWidth="1"/>
    <x:col min="15" max="15" width="32" hidden="0" customWidth="1"/>
    <x:col min="16" max="16" width="30" hidden="0" customWidth="1"/>
    <x:col min="17" max="17" width="48" hidden="0" customWidth="1"/>
    <x:col min="18" max="18" width="16" hidden="0" customWidth="1"/>
    <x:col min="19" max="19" width="48" hidden="0" customWidth="1"/>
  </x:cols>
  <x:sheetData>
    <x:row r="1" ht="34" customHeight="1">
      <x:c r="A1" s="3" t="str">
        <x:v>十二帝总档</x:v>
      </x:c>
    </x:row>
    <x:row r="2" ht="24" customHeight="1">
      <x:c r="A2" s="6" t="str">
        <x:v>努尔哈赤至溥仪统一骨架；在位年份与年号纪年不是同一口径，后续将细化到日期级事件</x:v>
      </x:c>
    </x:row>
    <x:row r="4" ht="32" customHeight="1">
      <x:c r="A4" s="92" t="str">
        <x:v>emperor_id</x:v>
      </x:c>
      <x:c r="B4" s="93" t="str">
        <x:v>顺序</x:v>
      </x:c>
      <x:c r="C4" s="93" t="str">
        <x:v>规范名</x:v>
      </x:c>
      <x:c r="D4" s="93" t="str">
        <x:v>年号或通称</x:v>
      </x:c>
      <x:c r="E4" s="93" t="str">
        <x:v>庙号</x:v>
      </x:c>
      <x:c r="F4" s="93" t="str">
        <x:v>生年</x:v>
      </x:c>
      <x:c r="G4" s="93" t="str">
        <x:v>卒年</x:v>
      </x:c>
      <x:c r="H4" s="93" t="str">
        <x:v>在位起</x:v>
      </x:c>
      <x:c r="I4" s="93" t="str">
        <x:v>在位止</x:v>
      </x:c>
      <x:c r="J4" s="93" t="str">
        <x:v>父亲</x:v>
      </x:c>
      <x:c r="K4" s="93" t="str">
        <x:v>母亲</x:v>
      </x:c>
      <x:c r="L4" s="93" t="str">
        <x:v>前任</x:v>
      </x:c>
      <x:c r="M4" s="93" t="str">
        <x:v>继任</x:v>
      </x:c>
      <x:c r="N4" s="93" t="str">
        <x:v>陵寝</x:v>
      </x:c>
      <x:c r="O4" s="93" t="str">
        <x:v>清史稿本纪</x:v>
      </x:c>
      <x:c r="P4" s="93" t="str">
        <x:v>清实录入口</x:v>
      </x:c>
      <x:c r="Q4" s="93" t="str">
        <x:v>故宫人物页</x:v>
      </x:c>
      <x:c r="R4" s="93" t="str">
        <x:v>页面状态</x:v>
      </x:c>
      <x:c r="S4" s="94" t="str">
        <x:v>备注</x:v>
      </x:c>
    </x:row>
    <x:row r="5" ht="46" customHeight="1">
      <x:c r="A5" s="99" t="str">
        <x:v>QH-E-01</x:v>
      </x:c>
      <x:c r="B5" s="99" t="str">
        <x:v>1</x:v>
      </x:c>
      <x:c r="C5" s="99" t="str">
        <x:v>爱新觉罗·努尔哈赤</x:v>
      </x:c>
      <x:c r="D5" s="99" t="str">
        <x:v>天命</x:v>
      </x:c>
      <x:c r="E5" s="99" t="str">
        <x:v>太祖</x:v>
      </x:c>
      <x:c r="F5" s="99" t="str">
        <x:v>1559</x:v>
      </x:c>
      <x:c r="G5" s="99" t="str">
        <x:v>1626</x:v>
      </x:c>
      <x:c r="H5" s="99" t="str">
        <x:v>1616</x:v>
      </x:c>
      <x:c r="I5" s="99" t="str">
        <x:v>1626</x:v>
      </x:c>
      <x:c r="J5" s="99" t="str">
        <x:v>爱新觉罗·塔克世</x:v>
      </x:c>
      <x:c r="K5" s="99" t="str">
        <x:v>喜塔腊氏</x:v>
      </x:c>
      <x:c r="L5" s="99" t="str"/>
      <x:c r="M5" s="99" t="str">
        <x:v>爱新觉罗·皇太极</x:v>
      </x:c>
      <x:c r="N5" s="99" t="str">
        <x:v>沈阳福陵</x:v>
      </x:c>
      <x:c r="O5" s="99" t="str">
        <x:v>卷1 本纪一 太祖本纪</x:v>
      </x:c>
      <x:c r="P5" s="99" t="str">
        <x:v>大清太祖高皇帝实录</x:v>
      </x:c>
      <x:c r="Q5" s="99" t="str">
        <x:v>https://www.dpm.org.cn/court/lineage/226250.html</x:v>
      </x:c>
      <x:c r="R5" s="99" t="str">
        <x:v>骨架已回查</x:v>
      </x:c>
      <x:c r="S5" s="99" t="str">
        <x:v>1616 建后金；出生死亡细日与不同历法表示待建立时间表达</x:v>
      </x:c>
    </x:row>
    <x:row r="6" ht="46" customHeight="1">
      <x:c r="A6" s="100" t="str">
        <x:v>QH-E-02</x:v>
      </x:c>
      <x:c r="B6" s="100" t="str">
        <x:v>2</x:v>
      </x:c>
      <x:c r="C6" s="100" t="str">
        <x:v>爱新觉罗·皇太极</x:v>
      </x:c>
      <x:c r="D6" s="100" t="str">
        <x:v>天聪；崇德</x:v>
      </x:c>
      <x:c r="E6" s="100" t="str">
        <x:v>太宗</x:v>
      </x:c>
      <x:c r="F6" s="100" t="str">
        <x:v>1592</x:v>
      </x:c>
      <x:c r="G6" s="100" t="str">
        <x:v>1643</x:v>
      </x:c>
      <x:c r="H6" s="100" t="str">
        <x:v>1626</x:v>
      </x:c>
      <x:c r="I6" s="100" t="str">
        <x:v>1643</x:v>
      </x:c>
      <x:c r="J6" s="100" t="str">
        <x:v>爱新觉罗·努尔哈赤</x:v>
      </x:c>
      <x:c r="K6" s="100" t="str">
        <x:v>叶赫那拉氏（孝慈高皇后）</x:v>
      </x:c>
      <x:c r="L6" s="100" t="str">
        <x:v>爱新觉罗·努尔哈赤</x:v>
      </x:c>
      <x:c r="M6" s="100" t="str">
        <x:v>爱新觉罗·福临</x:v>
      </x:c>
      <x:c r="N6" s="100" t="str">
        <x:v>沈阳昭陵</x:v>
      </x:c>
      <x:c r="O6" s="100" t="str">
        <x:v>卷2–3 本纪二至三 太宗本纪</x:v>
      </x:c>
      <x:c r="P6" s="100" t="str">
        <x:v>大清太宗文皇帝实录</x:v>
      </x:c>
      <x:c r="Q6" s="100" t="str">
        <x:v>https://www.dpm.org.cn/court/lineage/226251.html</x:v>
      </x:c>
      <x:c r="R6" s="100" t="str">
        <x:v>骨架已回查</x:v>
      </x:c>
      <x:c r="S6" s="100" t="str">
        <x:v>1636 改国号大清；天聪汗位与崇德帝位的称号时态需分开</x:v>
      </x:c>
    </x:row>
    <x:row r="7" ht="46" customHeight="1">
      <x:c r="A7" s="100" t="str">
        <x:v>QH-E-03</x:v>
      </x:c>
      <x:c r="B7" s="100" t="str">
        <x:v>3</x:v>
      </x:c>
      <x:c r="C7" s="100" t="str">
        <x:v>爱新觉罗·福临</x:v>
      </x:c>
      <x:c r="D7" s="100" t="str">
        <x:v>顺治</x:v>
      </x:c>
      <x:c r="E7" s="100" t="str">
        <x:v>世祖</x:v>
      </x:c>
      <x:c r="F7" s="100" t="str">
        <x:v>1638</x:v>
      </x:c>
      <x:c r="G7" s="100" t="str">
        <x:v>1661</x:v>
      </x:c>
      <x:c r="H7" s="100" t="str">
        <x:v>1643</x:v>
      </x:c>
      <x:c r="I7" s="100" t="str">
        <x:v>1661</x:v>
      </x:c>
      <x:c r="J7" s="100" t="str">
        <x:v>爱新觉罗·皇太极</x:v>
      </x:c>
      <x:c r="K7" s="100" t="str">
        <x:v>博尔济吉特氏（孝庄文皇后）</x:v>
      </x:c>
      <x:c r="L7" s="100" t="str">
        <x:v>爱新觉罗·皇太极</x:v>
      </x:c>
      <x:c r="M7" s="100" t="str">
        <x:v>爱新觉罗·玄烨</x:v>
      </x:c>
      <x:c r="N7" s="100" t="str">
        <x:v>清东陵孝陵</x:v>
      </x:c>
      <x:c r="O7" s="100" t="str">
        <x:v>卷4–5 本纪四至五 世祖本纪</x:v>
      </x:c>
      <x:c r="P7" s="100" t="str">
        <x:v>大清世祖章皇帝实录</x:v>
      </x:c>
      <x:c r="Q7" s="100" t="str">
        <x:v>https://www.dpm.org.cn/court/lineage/226262.html</x:v>
      </x:c>
      <x:c r="R7" s="100" t="str">
        <x:v>骨架已回查</x:v>
      </x:c>
      <x:c r="S7" s="100" t="str">
        <x:v>1644 入北京；在位年份展示需区分即汗位与入关后纪年口径</x:v>
      </x:c>
    </x:row>
    <x:row r="8" ht="46" customHeight="1">
      <x:c r="A8" s="100" t="str">
        <x:v>QH-E-04</x:v>
      </x:c>
      <x:c r="B8" s="100" t="str">
        <x:v>4</x:v>
      </x:c>
      <x:c r="C8" s="100" t="str">
        <x:v>爱新觉罗·玄烨</x:v>
      </x:c>
      <x:c r="D8" s="100" t="str">
        <x:v>康熙</x:v>
      </x:c>
      <x:c r="E8" s="100" t="str">
        <x:v>圣祖</x:v>
      </x:c>
      <x:c r="F8" s="100" t="str">
        <x:v>1654</x:v>
      </x:c>
      <x:c r="G8" s="100" t="str">
        <x:v>1722</x:v>
      </x:c>
      <x:c r="H8" s="100" t="str">
        <x:v>1661</x:v>
      </x:c>
      <x:c r="I8" s="100" t="str">
        <x:v>1722</x:v>
      </x:c>
      <x:c r="J8" s="100" t="str">
        <x:v>爱新觉罗·福临</x:v>
      </x:c>
      <x:c r="K8" s="100" t="str">
        <x:v>佟佳氏（孝康章皇后）</x:v>
      </x:c>
      <x:c r="L8" s="100" t="str">
        <x:v>爱新觉罗·福临</x:v>
      </x:c>
      <x:c r="M8" s="100" t="str">
        <x:v>爱新觉罗·胤禛</x:v>
      </x:c>
      <x:c r="N8" s="100" t="str">
        <x:v>清东陵景陵</x:v>
      </x:c>
      <x:c r="O8" s="100" t="str">
        <x:v>卷6–8 本纪六至八 圣祖本纪</x:v>
      </x:c>
      <x:c r="P8" s="100" t="str">
        <x:v>大清圣祖仁皇帝实录</x:v>
      </x:c>
      <x:c r="Q8" s="100" t="str">
        <x:v>https://www.dpm.org.cn/court/lineage/226256.html</x:v>
      </x:c>
      <x:c r="R8" s="100" t="str">
        <x:v>进入深挖</x:v>
      </x:c>
      <x:c r="S8" s="100" t="str">
        <x:v>继承与皇子关系为当前纵切片核心</x:v>
      </x:c>
    </x:row>
    <x:row r="9" ht="46" customHeight="1">
      <x:c r="A9" s="100" t="str">
        <x:v>QH-E-05</x:v>
      </x:c>
      <x:c r="B9" s="100" t="str">
        <x:v>5</x:v>
      </x:c>
      <x:c r="C9" s="100" t="str">
        <x:v>爱新觉罗·胤禛</x:v>
      </x:c>
      <x:c r="D9" s="100" t="str">
        <x:v>雍正</x:v>
      </x:c>
      <x:c r="E9" s="100" t="str">
        <x:v>世宗</x:v>
      </x:c>
      <x:c r="F9" s="100" t="str">
        <x:v>1678</x:v>
      </x:c>
      <x:c r="G9" s="100" t="str">
        <x:v>1735</x:v>
      </x:c>
      <x:c r="H9" s="100" t="str">
        <x:v>1722</x:v>
      </x:c>
      <x:c r="I9" s="100" t="str">
        <x:v>1735</x:v>
      </x:c>
      <x:c r="J9" s="100" t="str">
        <x:v>爱新觉罗·玄烨</x:v>
      </x:c>
      <x:c r="K9" s="100" t="str">
        <x:v>乌雅氏（孝恭仁皇后）</x:v>
      </x:c>
      <x:c r="L9" s="100" t="str">
        <x:v>爱新觉罗·玄烨</x:v>
      </x:c>
      <x:c r="M9" s="100" t="str">
        <x:v>爱新觉罗·弘历</x:v>
      </x:c>
      <x:c r="N9" s="100" t="str">
        <x:v>清西陵泰陵</x:v>
      </x:c>
      <x:c r="O9" s="100" t="str">
        <x:v>卷9 本纪九 世宗本纪</x:v>
      </x:c>
      <x:c r="P9" s="100" t="str">
        <x:v>大清世宗宪皇帝实录</x:v>
      </x:c>
      <x:c r="Q9" s="100" t="str">
        <x:v>https://www.dpm.org.cn/court/lineage/226259.html</x:v>
      </x:c>
      <x:c r="R9" s="100" t="str">
        <x:v>进入深挖</x:v>
      </x:c>
      <x:c r="S9" s="100" t="str">
        <x:v>即位争议与遗诏版本必须作为冲突主张处理</x:v>
      </x:c>
    </x:row>
    <x:row r="10" ht="46" customHeight="1">
      <x:c r="A10" s="100" t="str">
        <x:v>QH-E-06</x:v>
      </x:c>
      <x:c r="B10" s="100" t="str">
        <x:v>6</x:v>
      </x:c>
      <x:c r="C10" s="100" t="str">
        <x:v>爱新觉罗·弘历</x:v>
      </x:c>
      <x:c r="D10" s="100" t="str">
        <x:v>乾隆</x:v>
      </x:c>
      <x:c r="E10" s="100" t="str">
        <x:v>高宗</x:v>
      </x:c>
      <x:c r="F10" s="100" t="str">
        <x:v>1711</x:v>
      </x:c>
      <x:c r="G10" s="100" t="str">
        <x:v>1799</x:v>
      </x:c>
      <x:c r="H10" s="100" t="str">
        <x:v>1735</x:v>
      </x:c>
      <x:c r="I10" s="100" t="str">
        <x:v>1796</x:v>
      </x:c>
      <x:c r="J10" s="100" t="str">
        <x:v>爱新觉罗·胤禛</x:v>
      </x:c>
      <x:c r="K10" s="100" t="str">
        <x:v>钮祜禄氏（孝圣宪皇后）</x:v>
      </x:c>
      <x:c r="L10" s="100" t="str">
        <x:v>爱新觉罗·胤禛</x:v>
      </x:c>
      <x:c r="M10" s="100" t="str">
        <x:v>爱新觉罗·颙琰</x:v>
      </x:c>
      <x:c r="N10" s="100" t="str">
        <x:v>清东陵裕陵</x:v>
      </x:c>
      <x:c r="O10" s="100" t="str">
        <x:v>卷10–15 本纪十至十五 高宗本纪</x:v>
      </x:c>
      <x:c r="P10" s="100" t="str">
        <x:v>大清高宗纯皇帝实录</x:v>
      </x:c>
      <x:c r="Q10" s="100" t="str">
        <x:v>https://www.dpm.org.cn/court/lineage/226263.html</x:v>
      </x:c>
      <x:c r="R10" s="100" t="str">
        <x:v>骨架已回查</x:v>
      </x:c>
      <x:c r="S10" s="100" t="str">
        <x:v>1796 禅位后继续训政；在位与实际执政必须拆分</x:v>
      </x:c>
    </x:row>
    <x:row r="11" ht="46" customHeight="1">
      <x:c r="A11" s="100" t="str">
        <x:v>QH-E-07</x:v>
      </x:c>
      <x:c r="B11" s="100" t="str">
        <x:v>7</x:v>
      </x:c>
      <x:c r="C11" s="100" t="str">
        <x:v>爱新觉罗·颙琰</x:v>
      </x:c>
      <x:c r="D11" s="100" t="str">
        <x:v>嘉庆</x:v>
      </x:c>
      <x:c r="E11" s="100" t="str">
        <x:v>仁宗</x:v>
      </x:c>
      <x:c r="F11" s="100" t="str">
        <x:v>1760</x:v>
      </x:c>
      <x:c r="G11" s="100" t="str">
        <x:v>1820</x:v>
      </x:c>
      <x:c r="H11" s="100" t="str">
        <x:v>1796</x:v>
      </x:c>
      <x:c r="I11" s="100" t="str">
        <x:v>1820</x:v>
      </x:c>
      <x:c r="J11" s="100" t="str">
        <x:v>爱新觉罗·弘历</x:v>
      </x:c>
      <x:c r="K11" s="100" t="str">
        <x:v>魏佳氏（孝仪纯皇后）</x:v>
      </x:c>
      <x:c r="L11" s="100" t="str">
        <x:v>爱新觉罗·弘历</x:v>
      </x:c>
      <x:c r="M11" s="100" t="str">
        <x:v>爱新觉罗·旻宁</x:v>
      </x:c>
      <x:c r="N11" s="100" t="str">
        <x:v>清西陵昌陵</x:v>
      </x:c>
      <x:c r="O11" s="100" t="str">
        <x:v>卷16 本纪十六 仁宗本纪</x:v>
      </x:c>
      <x:c r="P11" s="100" t="str">
        <x:v>大清仁宗睿皇帝实录</x:v>
      </x:c>
      <x:c r="Q11" s="100" t="str">
        <x:v>https://www.dpm.org.cn/court/lineage/226238.html</x:v>
      </x:c>
      <x:c r="R11" s="100" t="str">
        <x:v>骨架已回查</x:v>
      </x:c>
      <x:c r="S11" s="100" t="str">
        <x:v>1796–1799 太上皇训政期需单独表达</x:v>
      </x:c>
    </x:row>
    <x:row r="12" ht="46" customHeight="1">
      <x:c r="A12" s="100" t="str">
        <x:v>QH-E-08</x:v>
      </x:c>
      <x:c r="B12" s="100" t="str">
        <x:v>8</x:v>
      </x:c>
      <x:c r="C12" s="100" t="str">
        <x:v>爱新觉罗·旻宁</x:v>
      </x:c>
      <x:c r="D12" s="100" t="str">
        <x:v>道光</x:v>
      </x:c>
      <x:c r="E12" s="100" t="str">
        <x:v>宣宗</x:v>
      </x:c>
      <x:c r="F12" s="100" t="str">
        <x:v>1782</x:v>
      </x:c>
      <x:c r="G12" s="100" t="str">
        <x:v>1850</x:v>
      </x:c>
      <x:c r="H12" s="100" t="str">
        <x:v>1820</x:v>
      </x:c>
      <x:c r="I12" s="100" t="str">
        <x:v>1850</x:v>
      </x:c>
      <x:c r="J12" s="100" t="str">
        <x:v>爱新觉罗·颙琰</x:v>
      </x:c>
      <x:c r="K12" s="100" t="str">
        <x:v>喜塔腊氏（孝淑睿皇后）</x:v>
      </x:c>
      <x:c r="L12" s="100" t="str">
        <x:v>爱新觉罗·颙琰</x:v>
      </x:c>
      <x:c r="M12" s="100" t="str">
        <x:v>爱新觉罗·奕詝</x:v>
      </x:c>
      <x:c r="N12" s="100" t="str">
        <x:v>清西陵慕陵</x:v>
      </x:c>
      <x:c r="O12" s="100" t="str">
        <x:v>卷17–19 本纪十七至十九 宣宗本纪</x:v>
      </x:c>
      <x:c r="P12" s="100" t="str">
        <x:v>大清宣宗成皇帝实录</x:v>
      </x:c>
      <x:c r="Q12" s="100" t="str">
        <x:v>https://www.dpm.org.cn/court/lineage/226239.html</x:v>
      </x:c>
      <x:c r="R12" s="100" t="str">
        <x:v>骨架已回查</x:v>
      </x:c>
      <x:c r="S12" s="100" t="str">
        <x:v>即位后由绵宁改旻宁的避讳与名称时态需记录</x:v>
      </x:c>
    </x:row>
    <x:row r="13" ht="46" customHeight="1">
      <x:c r="A13" s="100" t="str">
        <x:v>QH-E-09</x:v>
      </x:c>
      <x:c r="B13" s="100" t="str">
        <x:v>9</x:v>
      </x:c>
      <x:c r="C13" s="100" t="str">
        <x:v>爱新觉罗·奕詝</x:v>
      </x:c>
      <x:c r="D13" s="100" t="str">
        <x:v>咸丰</x:v>
      </x:c>
      <x:c r="E13" s="100" t="str">
        <x:v>文宗</x:v>
      </x:c>
      <x:c r="F13" s="100" t="str">
        <x:v>1831</x:v>
      </x:c>
      <x:c r="G13" s="100" t="str">
        <x:v>1861</x:v>
      </x:c>
      <x:c r="H13" s="100" t="str">
        <x:v>1850</x:v>
      </x:c>
      <x:c r="I13" s="100" t="str">
        <x:v>1861</x:v>
      </x:c>
      <x:c r="J13" s="100" t="str">
        <x:v>爱新觉罗·旻宁</x:v>
      </x:c>
      <x:c r="K13" s="100" t="str">
        <x:v>钮祜禄氏（孝全成皇后）</x:v>
      </x:c>
      <x:c r="L13" s="100" t="str">
        <x:v>爱新觉罗·旻宁</x:v>
      </x:c>
      <x:c r="M13" s="100" t="str">
        <x:v>爱新觉罗·载淳</x:v>
      </x:c>
      <x:c r="N13" s="100" t="str">
        <x:v>清东陵定陵</x:v>
      </x:c>
      <x:c r="O13" s="100" t="str">
        <x:v>卷20 本纪二十 文宗本纪</x:v>
      </x:c>
      <x:c r="P13" s="100" t="str">
        <x:v>大清文宗显皇帝实录</x:v>
      </x:c>
      <x:c r="Q13" s="100" t="str">
        <x:v>https://www.dpm.org.cn/court/lineage/226247.html</x:v>
      </x:c>
      <x:c r="R13" s="100" t="str">
        <x:v>骨架已回查</x:v>
      </x:c>
      <x:c r="S13" s="100" t="str">
        <x:v>祺祥改同治及赞襄政务安排属于身后继承事件</x:v>
      </x:c>
    </x:row>
    <x:row r="14" ht="46" customHeight="1">
      <x:c r="A14" s="100" t="str">
        <x:v>QH-E-10</x:v>
      </x:c>
      <x:c r="B14" s="100" t="str">
        <x:v>10</x:v>
      </x:c>
      <x:c r="C14" s="100" t="str">
        <x:v>爱新觉罗·载淳</x:v>
      </x:c>
      <x:c r="D14" s="100" t="str">
        <x:v>同治</x:v>
      </x:c>
      <x:c r="E14" s="100" t="str">
        <x:v>穆宗</x:v>
      </x:c>
      <x:c r="F14" s="100" t="str">
        <x:v>1856</x:v>
      </x:c>
      <x:c r="G14" s="100" t="str">
        <x:v>1875</x:v>
      </x:c>
      <x:c r="H14" s="100" t="str">
        <x:v>1861</x:v>
      </x:c>
      <x:c r="I14" s="100" t="str">
        <x:v>1875</x:v>
      </x:c>
      <x:c r="J14" s="100" t="str">
        <x:v>爱新觉罗·奕詝</x:v>
      </x:c>
      <x:c r="K14" s="100" t="str">
        <x:v>叶赫那拉氏（孝钦显皇后）</x:v>
      </x:c>
      <x:c r="L14" s="100" t="str">
        <x:v>爱新觉罗·奕詝</x:v>
      </x:c>
      <x:c r="M14" s="100" t="str">
        <x:v>爱新觉罗·载湉</x:v>
      </x:c>
      <x:c r="N14" s="100" t="str">
        <x:v>清东陵惠陵</x:v>
      </x:c>
      <x:c r="O14" s="100" t="str">
        <x:v>卷21–22 本纪二十一至二十二 穆宗本纪</x:v>
      </x:c>
      <x:c r="P14" s="100" t="str">
        <x:v>大清穆宗毅皇帝实录</x:v>
      </x:c>
      <x:c r="Q14" s="100" t="str">
        <x:v>https://www.dpm.org.cn/court/lineage/226248.html</x:v>
      </x:c>
      <x:c r="R14" s="100" t="str">
        <x:v>骨架已回查</x:v>
      </x:c>
      <x:c r="S14" s="100" t="str">
        <x:v>公历年界与故宫页面展示 1862–1874 不同；需同时保存即位日期与年号纪年</x:v>
      </x:c>
    </x:row>
    <x:row r="15" ht="46" customHeight="1">
      <x:c r="A15" s="100" t="str">
        <x:v>QH-E-11</x:v>
      </x:c>
      <x:c r="B15" s="100" t="str">
        <x:v>11</x:v>
      </x:c>
      <x:c r="C15" s="100" t="str">
        <x:v>爱新觉罗·载湉</x:v>
      </x:c>
      <x:c r="D15" s="100" t="str">
        <x:v>光绪</x:v>
      </x:c>
      <x:c r="E15" s="100" t="str">
        <x:v>德宗</x:v>
      </x:c>
      <x:c r="F15" s="100" t="str">
        <x:v>1871</x:v>
      </x:c>
      <x:c r="G15" s="100" t="str">
        <x:v>1908</x:v>
      </x:c>
      <x:c r="H15" s="100" t="str">
        <x:v>1875</x:v>
      </x:c>
      <x:c r="I15" s="100" t="str">
        <x:v>1908</x:v>
      </x:c>
      <x:c r="J15" s="100" t="str">
        <x:v>爱新觉罗·奕譞</x:v>
      </x:c>
      <x:c r="K15" s="100" t="str">
        <x:v>叶赫那拉氏</x:v>
      </x:c>
      <x:c r="L15" s="100" t="str">
        <x:v>爱新觉罗·载淳</x:v>
      </x:c>
      <x:c r="M15" s="100" t="str">
        <x:v>爱新觉罗·溥仪</x:v>
      </x:c>
      <x:c r="N15" s="100" t="str">
        <x:v>清西陵崇陵</x:v>
      </x:c>
      <x:c r="O15" s="100" t="str">
        <x:v>卷23–24 本纪二十三至二十四 德宗本纪</x:v>
      </x:c>
      <x:c r="P15" s="100" t="str">
        <x:v>大清德宗景皇帝实录</x:v>
      </x:c>
      <x:c r="Q15" s="100" t="str">
        <x:v>https://www.dpm.org.cn/court/lineage/226254.html</x:v>
      </x:c>
      <x:c r="R15" s="100" t="str">
        <x:v>骨架已回查</x:v>
      </x:c>
      <x:c r="S15" s="100" t="str">
        <x:v>生父母关系与承继文宗及兼顾穆宗继嗣关系必须分开</x:v>
      </x:c>
    </x:row>
    <x:row r="16" ht="46" customHeight="1">
      <x:c r="A16" s="100" t="str">
        <x:v>QH-E-12</x:v>
      </x:c>
      <x:c r="B16" s="100" t="str">
        <x:v>12</x:v>
      </x:c>
      <x:c r="C16" s="100" t="str">
        <x:v>爱新觉罗·溥仪</x:v>
      </x:c>
      <x:c r="D16" s="100" t="str">
        <x:v>宣统</x:v>
      </x:c>
      <x:c r="E16" s="100" t="str"/>
      <x:c r="F16" s="100" t="str">
        <x:v>1906</x:v>
      </x:c>
      <x:c r="G16" s="100" t="str">
        <x:v>1967</x:v>
      </x:c>
      <x:c r="H16" s="100" t="str">
        <x:v>1908</x:v>
      </x:c>
      <x:c r="I16" s="100" t="str">
        <x:v>1912</x:v>
      </x:c>
      <x:c r="J16" s="100" t="str">
        <x:v>爱新觉罗·载沣</x:v>
      </x:c>
      <x:c r="K16" s="100" t="str">
        <x:v>瓜尔佳氏</x:v>
      </x:c>
      <x:c r="L16" s="100" t="str">
        <x:v>爱新觉罗·载湉</x:v>
      </x:c>
      <x:c r="M16" s="100" t="str"/>
      <x:c r="N16" s="100" t="str">
        <x:v>河北华龙皇家陵园</x:v>
      </x:c>
      <x:c r="O16" s="100" t="str">
        <x:v>卷25 本纪二十五 宣统皇帝本纪</x:v>
      </x:c>
      <x:c r="P16" s="100" t="str">
        <x:v>无传统宣统朝实录；用政书档案与清史稿等补充</x:v>
      </x:c>
      <x:c r="Q16" s="100" t="str">
        <x:v>https://www.dpm.org.cn/court/lineage/226255.html</x:v>
      </x:c>
      <x:c r="R16" s="100" t="str">
        <x:v>骨架已回查</x:v>
      </x:c>
      <x:c r="S16" s="100" t="str">
        <x:v>1908 即位、1909 为宣统元年、1912 退位；后续复辟和伪满经历不属于清朝在位期</x:v>
      </x:c>
    </x:row>
  </x:sheetData>
  <x:mergeCells>
    <x:mergeCell ref="A1:S1"/>
    <x:mergeCell ref="A2:S2"/>
  </x:mergeCells>
  <x:conditionalFormatting sqref="R5:R16">
    <x:cfRule type="containsText" dxfId="0" priority="1" operator="containsText" text="已完成"/>
    <x:cfRule type="containsText" dxfId="1" priority="2" operator="containsText" text="已通过"/>
    <x:cfRule type="containsText" dxfId="2" priority="3" operator="containsText" text="进行中"/>
    <x:cfRule type="containsText" dxfId="3" priority="4" operator="containsText" text="待审核"/>
    <x:cfRule type="containsText" dxfId="4" priority="5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fc0d71cbf5254a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4" hidden="0" customWidth="1"/>
    <x:col min="5" max="5" width="34" hidden="0" customWidth="1"/>
    <x:col min="6" max="6" width="58" hidden="0" customWidth="1"/>
    <x:col min="7" max="7" width="42" hidden="0" customWidth="1"/>
    <x:col min="8" max="8" width="56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帝王史料索引</x:v>
      </x:c>
    </x:row>
    <x:row r="2" ht="24" customHeight="1">
      <x:c r="A2" s="6" t="str">
        <x:v>官方人物页、实录、《清史稿》和图像库入口；在线可检索不等于允许整库复制</x:v>
      </x:c>
    </x:row>
    <x:row r="4" ht="32" customHeight="1">
      <x:c r="A4" s="92" t="str">
        <x:v>index_id</x:v>
      </x:c>
      <x:c r="B4" s="93" t="str">
        <x:v>emperor_id</x:v>
      </x:c>
      <x:c r="C4" s="93" t="str">
        <x:v>资源名称</x:v>
      </x:c>
      <x:c r="D4" s="93" t="str">
        <x:v>资源类型</x:v>
      </x:c>
      <x:c r="E4" s="93" t="str">
        <x:v>卷次或范围</x:v>
      </x:c>
      <x:c r="F4" s="93" t="str">
        <x:v>访问网址</x:v>
      </x:c>
      <x:c r="G4" s="93" t="str">
        <x:v>证据用途</x:v>
      </x:c>
      <x:c r="H4" s="93" t="str">
        <x:v>再利用策略</x:v>
      </x:c>
      <x:c r="I4" s="93" t="str">
        <x:v>核查日期</x:v>
      </x:c>
      <x:c r="J4" s="94" t="str">
        <x:v>状态</x:v>
      </x:c>
    </x:row>
    <x:row r="5" ht="44" customHeight="1">
      <x:c r="A5" s="99" t="str">
        <x:v>IDX-001</x:v>
      </x:c>
      <x:c r="B5" s="99" t="str">
        <x:v>QH-E-01</x:v>
      </x:c>
      <x:c r="C5" s="99" t="str">
        <x:v>故宫宫廷世系·努尔哈赤</x:v>
      </x:c>
      <x:c r="D5" s="99" t="str">
        <x:v>官方人物页</x:v>
      </x:c>
      <x:c r="E5" s="99" t="str">
        <x:v>生平与大事年表</x:v>
      </x:c>
      <x:c r="F5" s="99" t="str">
        <x:v>https://www.dpm.org.cn/court/lineage/226250.html</x:v>
      </x:c>
      <x:c r="G5" s="99" t="str">
        <x:v>人物骨架与馆藏发现</x:v>
      </x:c>
      <x:c r="H5" s="99" t="str">
        <x:v>只保存自建摘要和链接；图片不镜像</x:v>
      </x:c>
      <x:c r="I5" s="99" t="str">
        <x:v>2026-08-12</x:v>
      </x:c>
      <x:c r="J5" s="99" t="str">
        <x:v>已打开</x:v>
      </x:c>
    </x:row>
    <x:row r="6" ht="44" customHeight="1">
      <x:c r="A6" s="100" t="str">
        <x:v>IDX-002</x:v>
      </x:c>
      <x:c r="B6" s="100" t="str">
        <x:v>QH-E-02</x:v>
      </x:c>
      <x:c r="C6" s="100" t="str">
        <x:v>故宫宫廷世系·皇太极</x:v>
      </x:c>
      <x:c r="D6" s="100" t="str">
        <x:v>官方人物页</x:v>
      </x:c>
      <x:c r="E6" s="100" t="str">
        <x:v>生平与大事年表</x:v>
      </x:c>
      <x:c r="F6" s="100" t="str">
        <x:v>https://www.dpm.org.cn/court/lineage/226251.html</x:v>
      </x:c>
      <x:c r="G6" s="100" t="str">
        <x:v>人物骨架与馆藏发现</x:v>
      </x:c>
      <x:c r="H6" s="100" t="str">
        <x:v>只保存自建摘要和链接；图片不镜像</x:v>
      </x:c>
      <x:c r="I6" s="100" t="str">
        <x:v>2026-08-12</x:v>
      </x:c>
      <x:c r="J6" s="100" t="str">
        <x:v>已打开</x:v>
      </x:c>
    </x:row>
    <x:row r="7" ht="44" customHeight="1">
      <x:c r="A7" s="100" t="str">
        <x:v>IDX-003</x:v>
      </x:c>
      <x:c r="B7" s="100" t="str">
        <x:v>QH-E-03</x:v>
      </x:c>
      <x:c r="C7" s="100" t="str">
        <x:v>故宫宫廷世系·顺治</x:v>
      </x:c>
      <x:c r="D7" s="100" t="str">
        <x:v>官方人物页</x:v>
      </x:c>
      <x:c r="E7" s="100" t="str">
        <x:v>生平与大事年表</x:v>
      </x:c>
      <x:c r="F7" s="100" t="str">
        <x:v>https://www.dpm.org.cn/court/lineage/226262.html</x:v>
      </x:c>
      <x:c r="G7" s="100" t="str">
        <x:v>人物骨架与馆藏发现</x:v>
      </x:c>
      <x:c r="H7" s="100" t="str">
        <x:v>只保存自建摘要和链接；图片不镜像</x:v>
      </x:c>
      <x:c r="I7" s="100" t="str">
        <x:v>2026-08-12</x:v>
      </x:c>
      <x:c r="J7" s="100" t="str">
        <x:v>已打开</x:v>
      </x:c>
    </x:row>
    <x:row r="8" ht="44" customHeight="1">
      <x:c r="A8" s="100" t="str">
        <x:v>IDX-004</x:v>
      </x:c>
      <x:c r="B8" s="100" t="str">
        <x:v>QH-E-04</x:v>
      </x:c>
      <x:c r="C8" s="100" t="str">
        <x:v>故宫宫廷世系·康熙</x:v>
      </x:c>
      <x:c r="D8" s="100" t="str">
        <x:v>官方人物页</x:v>
      </x:c>
      <x:c r="E8" s="100" t="str">
        <x:v>生平与大事年表</x:v>
      </x:c>
      <x:c r="F8" s="100" t="str">
        <x:v>https://www.dpm.org.cn/court/lineage/226256.html</x:v>
      </x:c>
      <x:c r="G8" s="100" t="str">
        <x:v>人物骨架与馆藏发现</x:v>
      </x:c>
      <x:c r="H8" s="100" t="str">
        <x:v>只保存自建摘要和链接；图片不镜像</x:v>
      </x:c>
      <x:c r="I8" s="100" t="str">
        <x:v>2026-08-12</x:v>
      </x:c>
      <x:c r="J8" s="100" t="str">
        <x:v>已打开</x:v>
      </x:c>
    </x:row>
    <x:row r="9" ht="44" customHeight="1">
      <x:c r="A9" s="100" t="str">
        <x:v>IDX-005</x:v>
      </x:c>
      <x:c r="B9" s="100" t="str">
        <x:v>QH-E-05</x:v>
      </x:c>
      <x:c r="C9" s="100" t="str">
        <x:v>故宫宫廷世系·雍正</x:v>
      </x:c>
      <x:c r="D9" s="100" t="str">
        <x:v>官方人物页</x:v>
      </x:c>
      <x:c r="E9" s="100" t="str">
        <x:v>生平与大事年表</x:v>
      </x:c>
      <x:c r="F9" s="100" t="str">
        <x:v>https://www.dpm.org.cn/court/lineage/226259.html</x:v>
      </x:c>
      <x:c r="G9" s="100" t="str">
        <x:v>人物骨架与馆藏发现</x:v>
      </x:c>
      <x:c r="H9" s="100" t="str">
        <x:v>只保存自建摘要和链接；图片不镜像</x:v>
      </x:c>
      <x:c r="I9" s="100" t="str">
        <x:v>2026-08-12</x:v>
      </x:c>
      <x:c r="J9" s="100" t="str">
        <x:v>已打开</x:v>
      </x:c>
    </x:row>
    <x:row r="10" ht="44" customHeight="1">
      <x:c r="A10" s="100" t="str">
        <x:v>IDX-006</x:v>
      </x:c>
      <x:c r="B10" s="100" t="str">
        <x:v>QH-E-06</x:v>
      </x:c>
      <x:c r="C10" s="100" t="str">
        <x:v>故宫宫廷世系·乾隆</x:v>
      </x:c>
      <x:c r="D10" s="100" t="str">
        <x:v>官方人物页</x:v>
      </x:c>
      <x:c r="E10" s="100" t="str">
        <x:v>生平与大事年表</x:v>
      </x:c>
      <x:c r="F10" s="100" t="str">
        <x:v>https://www.dpm.org.cn/court/lineage/226263.html</x:v>
      </x:c>
      <x:c r="G10" s="100" t="str">
        <x:v>人物骨架与馆藏发现</x:v>
      </x:c>
      <x:c r="H10" s="100" t="str">
        <x:v>只保存自建摘要和链接；图片不镜像</x:v>
      </x:c>
      <x:c r="I10" s="100" t="str">
        <x:v>2026-08-12</x:v>
      </x:c>
      <x:c r="J10" s="100" t="str">
        <x:v>已打开</x:v>
      </x:c>
    </x:row>
    <x:row r="11" ht="44" customHeight="1">
      <x:c r="A11" s="100" t="str">
        <x:v>IDX-007</x:v>
      </x:c>
      <x:c r="B11" s="100" t="str">
        <x:v>QH-E-07</x:v>
      </x:c>
      <x:c r="C11" s="100" t="str">
        <x:v>故宫宫廷世系·嘉庆</x:v>
      </x:c>
      <x:c r="D11" s="100" t="str">
        <x:v>官方人物页</x:v>
      </x:c>
      <x:c r="E11" s="100" t="str">
        <x:v>生平与大事年表</x:v>
      </x:c>
      <x:c r="F11" s="100" t="str">
        <x:v>https://www.dpm.org.cn/court/lineage/226238.html</x:v>
      </x:c>
      <x:c r="G11" s="100" t="str">
        <x:v>人物骨架与馆藏发现</x:v>
      </x:c>
      <x:c r="H11" s="100" t="str">
        <x:v>只保存自建摘要和链接；图片不镜像</x:v>
      </x:c>
      <x:c r="I11" s="100" t="str">
        <x:v>2026-08-12</x:v>
      </x:c>
      <x:c r="J11" s="100" t="str">
        <x:v>已打开</x:v>
      </x:c>
    </x:row>
    <x:row r="12" ht="44" customHeight="1">
      <x:c r="A12" s="100" t="str">
        <x:v>IDX-008</x:v>
      </x:c>
      <x:c r="B12" s="100" t="str">
        <x:v>QH-E-08</x:v>
      </x:c>
      <x:c r="C12" s="100" t="str">
        <x:v>故宫宫廷世系·道光</x:v>
      </x:c>
      <x:c r="D12" s="100" t="str">
        <x:v>官方人物页</x:v>
      </x:c>
      <x:c r="E12" s="100" t="str">
        <x:v>生平与大事年表</x:v>
      </x:c>
      <x:c r="F12" s="100" t="str">
        <x:v>https://www.dpm.org.cn/court/lineage/226239.html</x:v>
      </x:c>
      <x:c r="G12" s="100" t="str">
        <x:v>人物骨架与馆藏发现</x:v>
      </x:c>
      <x:c r="H12" s="100" t="str">
        <x:v>只保存自建摘要和链接；图片不镜像</x:v>
      </x:c>
      <x:c r="I12" s="100" t="str">
        <x:v>2026-08-12</x:v>
      </x:c>
      <x:c r="J12" s="100" t="str">
        <x:v>已打开</x:v>
      </x:c>
    </x:row>
    <x:row r="13" ht="44" customHeight="1">
      <x:c r="A13" s="100" t="str">
        <x:v>IDX-009</x:v>
      </x:c>
      <x:c r="B13" s="100" t="str">
        <x:v>QH-E-09</x:v>
      </x:c>
      <x:c r="C13" s="100" t="str">
        <x:v>故宫宫廷世系·咸丰</x:v>
      </x:c>
      <x:c r="D13" s="100" t="str">
        <x:v>官方人物页</x:v>
      </x:c>
      <x:c r="E13" s="100" t="str">
        <x:v>生平与大事年表</x:v>
      </x:c>
      <x:c r="F13" s="100" t="str">
        <x:v>https://www.dpm.org.cn/court/lineage/226247.html</x:v>
      </x:c>
      <x:c r="G13" s="100" t="str">
        <x:v>人物骨架与馆藏发现</x:v>
      </x:c>
      <x:c r="H13" s="100" t="str">
        <x:v>只保存自建摘要和链接；图片不镜像</x:v>
      </x:c>
      <x:c r="I13" s="100" t="str">
        <x:v>2026-08-12</x:v>
      </x:c>
      <x:c r="J13" s="100" t="str">
        <x:v>已打开</x:v>
      </x:c>
    </x:row>
    <x:row r="14" ht="44" customHeight="1">
      <x:c r="A14" s="100" t="str">
        <x:v>IDX-010</x:v>
      </x:c>
      <x:c r="B14" s="100" t="str">
        <x:v>QH-E-10</x:v>
      </x:c>
      <x:c r="C14" s="100" t="str">
        <x:v>故宫宫廷世系·同治</x:v>
      </x:c>
      <x:c r="D14" s="100" t="str">
        <x:v>官方人物页</x:v>
      </x:c>
      <x:c r="E14" s="100" t="str">
        <x:v>生平与大事年表</x:v>
      </x:c>
      <x:c r="F14" s="100" t="str">
        <x:v>https://www.dpm.org.cn/court/lineage/226248.html</x:v>
      </x:c>
      <x:c r="G14" s="100" t="str">
        <x:v>人物骨架与馆藏发现</x:v>
      </x:c>
      <x:c r="H14" s="100" t="str">
        <x:v>只保存自建摘要和链接；图片不镜像</x:v>
      </x:c>
      <x:c r="I14" s="100" t="str">
        <x:v>2026-08-12</x:v>
      </x:c>
      <x:c r="J14" s="100" t="str">
        <x:v>已打开</x:v>
      </x:c>
    </x:row>
    <x:row r="15" ht="44" customHeight="1">
      <x:c r="A15" s="100" t="str">
        <x:v>IDX-011</x:v>
      </x:c>
      <x:c r="B15" s="100" t="str">
        <x:v>QH-E-11</x:v>
      </x:c>
      <x:c r="C15" s="100" t="str">
        <x:v>故宫宫廷世系·光绪</x:v>
      </x:c>
      <x:c r="D15" s="100" t="str">
        <x:v>官方人物页</x:v>
      </x:c>
      <x:c r="E15" s="100" t="str">
        <x:v>生平与大事年表</x:v>
      </x:c>
      <x:c r="F15" s="100" t="str">
        <x:v>https://www.dpm.org.cn/court/lineage/226254.html</x:v>
      </x:c>
      <x:c r="G15" s="100" t="str">
        <x:v>人物骨架与馆藏发现</x:v>
      </x:c>
      <x:c r="H15" s="100" t="str">
        <x:v>只保存自建摘要和链接；图片不镜像</x:v>
      </x:c>
      <x:c r="I15" s="100" t="str">
        <x:v>2026-08-12</x:v>
      </x:c>
      <x:c r="J15" s="100" t="str">
        <x:v>已打开</x:v>
      </x:c>
    </x:row>
    <x:row r="16" ht="44" customHeight="1">
      <x:c r="A16" s="100" t="str">
        <x:v>IDX-012</x:v>
      </x:c>
      <x:c r="B16" s="100" t="str">
        <x:v>QH-E-12</x:v>
      </x:c>
      <x:c r="C16" s="100" t="str">
        <x:v>故宫宫廷世系·宣统</x:v>
      </x:c>
      <x:c r="D16" s="100" t="str">
        <x:v>官方人物页</x:v>
      </x:c>
      <x:c r="E16" s="100" t="str">
        <x:v>生平与大事年表</x:v>
      </x:c>
      <x:c r="F16" s="100" t="str">
        <x:v>https://www.dpm.org.cn/court/lineage/226255.html</x:v>
      </x:c>
      <x:c r="G16" s="100" t="str">
        <x:v>人物骨架与馆藏发现</x:v>
      </x:c>
      <x:c r="H16" s="100" t="str">
        <x:v>只保存自建摘要和链接；图片逐件核权</x:v>
      </x:c>
      <x:c r="I16" s="100" t="str">
        <x:v>2026-08-12</x:v>
      </x:c>
      <x:c r="J16" s="100" t="str">
        <x:v>已打开</x:v>
      </x:c>
    </x:row>
    <x:row r="17" ht="44" customHeight="1">
      <x:c r="A17" s="100" t="str">
        <x:v>IDX-013</x:v>
      </x:c>
      <x:c r="B17" s="100" t="str">
        <x:v>ALL</x:v>
      </x:c>
      <x:c r="C17" s="100" t="str">
        <x:v>中国第一历史档案馆《清实录》</x:v>
      </x:c>
      <x:c r="D17" s="100" t="str">
        <x:v>官修史料全文检索</x:v>
      </x:c>
      <x:c r="E17" s="100" t="str">
        <x:v>太祖至德宗各朝实录</x:v>
      </x:c>
      <x:c r="F17" s="100" t="str">
        <x:v>https://fhac.com.cn/fulltext_detail/2/359377</x:v>
      </x:c>
      <x:c r="G17" s="100" t="str">
        <x:v>逐年事件和原文定位</x:v>
      </x:c>
      <x:c r="H17" s="100" t="str">
        <x:v>必要短引文＋精确卷次＋原站链接；不镜像整库</x:v>
      </x:c>
      <x:c r="I17" s="100" t="str">
        <x:v>2026-08-12</x:v>
      </x:c>
      <x:c r="J17" s="100" t="str">
        <x:v>已打开</x:v>
      </x:c>
    </x:row>
    <x:row r="18" ht="44" customHeight="1">
      <x:c r="A18" s="100" t="str">
        <x:v>IDX-014</x:v>
      </x:c>
      <x:c r="B18" s="100" t="str">
        <x:v>ALL</x:v>
      </x:c>
      <x:c r="C18" s="100" t="str">
        <x:v>维基文库《清史稿》</x:v>
      </x:c>
      <x:c r="D18" s="100" t="str">
        <x:v>公版后出史书</x:v>
      </x:c>
      <x:c r="E18" s="100" t="str">
        <x:v>卷1–25 本纪；卷163 等皇子世表；卷214 后妃列传</x:v>
      </x:c>
      <x:c r="F18" s="100" t="str">
        <x:v>https://zh.wikisource.org/wiki/%E6%B8%85%E5%8F%B2%E7%A8%BF</x:v>
      </x:c>
      <x:c r="G18" s="100" t="str">
        <x:v>检索本纪表志列传入口</x:v>
      </x:c>
      <x:c r="H18" s="100" t="str">
        <x:v>按页面许可使用并保留来源；核心主张不得仅靠此书</x:v>
      </x:c>
      <x:c r="I18" s="100" t="str">
        <x:v>2026-08-12</x:v>
      </x:c>
      <x:c r="J18" s="100" t="str">
        <x:v>已打开</x:v>
      </x:c>
    </x:row>
    <x:row r="19" ht="44" customHeight="1">
      <x:c r="A19" s="100" t="str">
        <x:v>IDX-015</x:v>
      </x:c>
      <x:c r="B19" s="100" t="str">
        <x:v>ALL</x:v>
      </x:c>
      <x:c r="C19" s="100" t="str">
        <x:v>中国哲学书电子化计划《清史稿》</x:v>
      </x:c>
      <x:c r="D19" s="100" t="str">
        <x:v>数字文本与章节索引</x:v>
      </x:c>
      <x:c r="E19" s="100" t="str">
        <x:v>全书章节</x:v>
      </x:c>
      <x:c r="F19" s="100" t="str">
        <x:v>https://ctext.org/wiki.pl?if=gb&amp;res=98755</x:v>
      </x:c>
      <x:c r="G19" s="100" t="str">
        <x:v>章节定位与异文线索</x:v>
      </x:c>
      <x:c r="H19" s="100" t="str">
        <x:v>只作检索和交叉检查；回查具体版本</x:v>
      </x:c>
      <x:c r="I19" s="100" t="str">
        <x:v>2026-08-12</x:v>
      </x:c>
      <x:c r="J19" s="100" t="str">
        <x:v>已打开</x:v>
      </x:c>
    </x:row>
    <x:row r="20" ht="44" customHeight="1">
      <x:c r="A20" s="100" t="str">
        <x:v>IDX-016</x:v>
      </x:c>
      <x:c r="B20" s="100" t="str">
        <x:v>ALL</x:v>
      </x:c>
      <x:c r="C20" s="100" t="str">
        <x:v>Wikimedia Commons 清帝画像分类</x:v>
      </x:c>
      <x:c r="D20" s="100" t="str">
        <x:v>逐文件许可图像库</x:v>
      </x:c>
      <x:c r="E20" s="100" t="str">
        <x:v>清帝画像候选</x:v>
      </x:c>
      <x:c r="F20" s="100" t="str">
        <x:v>https://commons.wikimedia.org/wiki/Category:Portrait_paintings_of_emperors_of_the_Qing_dynasty</x:v>
      </x:c>
      <x:c r="G20" s="100" t="str">
        <x:v>寻找可合法嵌入的代表画像</x:v>
      </x:c>
      <x:c r="H20" s="100" t="str">
        <x:v>逐文件核对许可证、来源与人物认定后才下载</x:v>
      </x:c>
      <x:c r="I20" s="100" t="str">
        <x:v>2026-08-12</x:v>
      </x:c>
      <x:c r="J20" s="100" t="str">
        <x:v>已打开</x:v>
      </x:c>
    </x:row>
    <x:row r="21" ht="44" customHeight="1">
      <x:c r="A21" s="100" t="str">
        <x:v>IDX-017</x:v>
      </x:c>
      <x:c r="B21" s="100" t="str">
        <x:v>QH-E-04</x:v>
      </x:c>
      <x:c r="C21" s="100" t="str">
        <x:v>《圣祖仁皇帝实录》卷1即位条</x:v>
      </x:c>
      <x:c r="D21" s="100" t="str">
        <x:v>官修史料逐日记录</x:v>
      </x:c>
      <x:c r="E21" s="100" t="str">
        <x:v>顺治十八年正月初九日第1/3条</x:v>
      </x:c>
      <x:c r="F21" s="100" t="str">
        <x:v>https://sillok.history.go.kr/mc/id/qsilok_005_0010_0010_0010_0030_0010</x:v>
      </x:c>
      <x:c r="G21" s="100" t="str">
        <x:v>康熙即位礼与次年改元</x:v>
      </x:c>
      <x:c r="H21" s="100" t="str">
        <x:v>必要短引文＋精确条目链接；不镜像整库</x:v>
      </x:c>
      <x:c r="I21" s="100" t="str">
        <x:v>2026-08-12</x:v>
      </x:c>
      <x:c r="J21" s="100" t="str">
        <x:v>已拆14条主张</x:v>
      </x:c>
    </x:row>
    <x:row r="22" ht="44" customHeight="1">
      <x:c r="A22" s="100" t="str">
        <x:v>IDX-018</x:v>
      </x:c>
      <x:c r="B22" s="100" t="str">
        <x:v>QH-E-04</x:v>
      </x:c>
      <x:c r="C22" s="100" t="str">
        <x:v>《圣祖仁皇帝实录》卷300遗诏条</x:v>
      </x:c>
      <x:c r="D22" s="100" t="str">
        <x:v>官修史料逐日记录</x:v>
      </x:c>
      <x:c r="E22" s="100" t="str">
        <x:v>康熙六十一年十一月十三日第2/2条</x:v>
      </x:c>
      <x:c r="F22" s="100" t="str">
        <x:v>https://sillok.history.go.kr/mc/id/qsilok_005_3000_0010_0010_0110_0020</x:v>
      </x:c>
      <x:c r="G22" s="100" t="str">
        <x:v>遗诏自述与胤禛继承条款</x:v>
      </x:c>
      <x:c r="H22" s="100" t="str">
        <x:v>必要短引文＋精确条目链接；争议另建冲突组</x:v>
      </x:c>
      <x:c r="I22" s="100" t="str">
        <x:v>2026-08-12</x:v>
      </x:c>
      <x:c r="J22" s="100" t="str">
        <x:v>已拆14条主张</x:v>
      </x:c>
    </x:row>
  </x:sheetData>
  <x:mergeCells>
    <x:mergeCell ref="A1:J1"/>
    <x:mergeCell ref="A2:J2"/>
  </x:mergeCells>
  <x:conditionalFormatting sqref="J5:J22">
    <x:cfRule type="containsText" dxfId="5" priority="1" operator="containsText" text="已完成"/>
    <x:cfRule type="containsText" dxfId="6" priority="2" operator="containsText" text="已通过"/>
    <x:cfRule type="containsText" dxfId="7" priority="3" operator="containsText" text="进行中"/>
    <x:cfRule type="containsText" dxfId="8" priority="4" operator="containsText" text="待审核"/>
    <x:cfRule type="containsText" dxfId="9" priority="5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ca19bdf4a642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8" hidden="0" customWidth="1"/>
    <x:col min="5" max="5" width="22" hidden="0" customWidth="1"/>
    <x:col min="6" max="6" width="22" hidden="0" customWidth="1"/>
    <x:col min="7" max="7" width="26" hidden="0" customWidth="1"/>
    <x:col min="8" max="8" width="62" hidden="0" customWidth="1"/>
    <x:col min="9" max="9" width="62" hidden="0" customWidth="1"/>
    <x:col min="10" max="10" width="18" hidden="0" customWidth="1"/>
    <x:col min="11" max="11" width="10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50" hidden="0" customWidth="1"/>
    <x:col min="17" max="17" width="46" hidden="0" customWidth="1"/>
  </x:cols>
  <x:sheetData>
    <x:row r="1" ht="34" customHeight="1">
      <x:c r="A1" s="3" t="str">
        <x:v>十二帝画像与历史照片</x:v>
      </x:c>
    </x:row>
    <x:row r="2" ht="24" customHeight="1">
      <x:c r="A2" s="6" t="str">
        <x:v>每帝先登记一件免费可用候选；公版许可、人物认定、原作馆藏和数字文件来源分别管理</x:v>
      </x:c>
    </x:row>
    <x:row r="4" ht="32" customHeight="1">
      <x:c r="A4" s="92" t="str">
        <x:v>visual_id</x:v>
      </x:c>
      <x:c r="B4" s="93" t="str">
        <x:v>emperor_id</x:v>
      </x:c>
      <x:c r="C4" s="93" t="str">
        <x:v>人物</x:v>
      </x:c>
      <x:c r="D4" s="93" t="str">
        <x:v>对象标题</x:v>
      </x:c>
      <x:c r="E4" s="93" t="str">
        <x:v>图像性质</x:v>
      </x:c>
      <x:c r="F4" s="93" t="str">
        <x:v>制作年代或摄影日期</x:v>
      </x:c>
      <x:c r="G4" s="93" t="str">
        <x:v>作者或摄影者</x:v>
      </x:c>
      <x:c r="H4" s="93" t="str">
        <x:v>文件页</x:v>
      </x:c>
      <x:c r="I4" s="93" t="str">
        <x:v>预览文件</x:v>
      </x:c>
      <x:c r="J4" s="93" t="str">
        <x:v>文件页标示许可</x:v>
      </x:c>
      <x:c r="K4" s="93" t="str">
        <x:v>权利颜色</x:v>
      </x:c>
      <x:c r="L4" s="93" t="str">
        <x:v>可本地保存</x:v>
      </x:c>
      <x:c r="M4" s="93" t="str">
        <x:v>可公开展示</x:v>
      </x:c>
      <x:c r="N4" s="93" t="str">
        <x:v>对象认定状态</x:v>
      </x:c>
      <x:c r="O4" s="93" t="str">
        <x:v>核查日期</x:v>
      </x:c>
      <x:c r="P4" s="93" t="str">
        <x:v>使用说明</x:v>
      </x:c>
      <x:c r="Q4" s="94" t="str">
        <x:v>待核问题</x:v>
      </x:c>
    </x:row>
    <x:row r="5" ht="52" customHeight="1">
      <x:c r="A5" s="99" t="str">
        <x:v>QH-V-E01</x:v>
      </x:c>
      <x:c r="B5" s="99" t="str">
        <x:v>QH-E-01</x:v>
      </x:c>
      <x:c r="C5" s="99" t="str">
        <x:v>爱新觉罗·努尔哈赤</x:v>
      </x:c>
      <x:c r="D5" s="99" t="str">
        <x:v>清太祖天命皇帝朝服像</x:v>
      </x:c>
      <x:c r="E5" s="99" t="str">
        <x:v>历史宫廷画像</x:v>
      </x:c>
      <x:c r="F5" s="99" t="str">
        <x:v>17世纪</x:v>
      </x:c>
      <x:c r="G5" s="99" t="str">
        <x:v>佚名宫廷画家</x:v>
      </x:c>
      <x:c r="H5" s="99" t="str">
        <x:v>https://commons.wikimedia.org/wiki/File:%E6%B8%85_%E4%BD%9A%E5%90%8D_%E3%80%8A%E6%B8%85%E5%A4%AA%E7%A5%96%E5%A4%A9%E5%91%BD%E7%9A%87%E5%B8%9D%E6%9C%9D%E6%9C%8D%E5%83%8F%E3%80%8B.jpg</x:v>
      </x:c>
      <x:c r="I5" s="99" t="str">
        <x:v>https://upload.wikimedia.org/wikipedia/commons/thumb/6/63/%E6%B8%85_%E4%BD%9A%E5%90%8D_%E3%80%8A%E6%B8%85%E5%A4%AA%E7%A5%96%E5%A4%A9%E5%91%BD%E7%9A%87%E5%B8%9D%E6%9C%9D%E6%9C%8D%E5%83%8F%E3%80%8B.jpg/960px-%E6%B8%85_%E4%BD%9A%E5%90%8D_%E3%80%8A%E6%B8%85%E5%A4%AA%E7%A5%96%E5%A4%A9%E5%91%BD%E7%9A%87%E5%B8%9D%E6%9C%9D%E6%9C%8D%E5%83%8F%E3%80%8B.jpg</x:v>
      </x:c>
      <x:c r="J5" s="99" t="str">
        <x:v>Public domain</x:v>
      </x:c>
      <x:c r="K5" s="99" t="str">
        <x:v>绿</x:v>
      </x:c>
      <x:c r="L5" s="99" t="str">
        <x:v>是</x:v>
      </x:c>
      <x:c r="M5" s="99" t="str">
        <x:v>是</x:v>
      </x:c>
      <x:c r="N5" s="99" t="str">
        <x:v>文件题名明确</x:v>
      </x:c>
      <x:c r="O5" s="99" t="str">
        <x:v>2026-08-12</x:v>
      </x:c>
      <x:c r="P5" s="99" t="str">
        <x:v>使用前保留文件页和原馆藏归属说明</x:v>
      </x:c>
      <x:c r="Q5" s="99" t="str">
        <x:v>进一步核原作馆藏号与是否生前写真</x:v>
      </x:c>
    </x:row>
    <x:row r="6" ht="52" customHeight="1">
      <x:c r="A6" s="100" t="str">
        <x:v>QH-V-E02</x:v>
      </x:c>
      <x:c r="B6" s="100" t="str">
        <x:v>QH-E-02</x:v>
      </x:c>
      <x:c r="C6" s="100" t="str">
        <x:v>爱新觉罗·皇太极</x:v>
      </x:c>
      <x:c r="D6" s="100" t="str">
        <x:v>Emperor Huang Taiji</x:v>
      </x:c>
      <x:c r="E6" s="100" t="str">
        <x:v>历史宫廷画像</x:v>
      </x:c>
      <x:c r="F6" s="100" t="str">
        <x:v>17世纪</x:v>
      </x:c>
      <x:c r="G6" s="100" t="str">
        <x:v>佚名清宫画家</x:v>
      </x:c>
      <x:c r="H6" s="100" t="str">
        <x:v>https://commons.wikimedia.org/wiki/File:Emperor_Huang_Taiji.jpg</x:v>
      </x:c>
      <x:c r="I6" s="100" t="str">
        <x:v>https://upload.wikimedia.org/wikipedia/commons/2/20/Emperor_Huang_Taiji.jpg</x:v>
      </x:c>
      <x:c r="J6" s="100" t="str">
        <x:v>Public domain</x:v>
      </x:c>
      <x:c r="K6" s="100" t="str">
        <x:v>绿</x:v>
      </x:c>
      <x:c r="L6" s="100" t="str">
        <x:v>是</x:v>
      </x:c>
      <x:c r="M6" s="100" t="str">
        <x:v>是</x:v>
      </x:c>
      <x:c r="N6" s="100" t="str">
        <x:v>文件题名明确</x:v>
      </x:c>
      <x:c r="O6" s="100" t="str">
        <x:v>2026-08-12</x:v>
      </x:c>
      <x:c r="P6" s="100" t="str">
        <x:v>使用 Commons 文件并回链文件页</x:v>
      </x:c>
      <x:c r="Q6" s="100" t="str">
        <x:v>进一步核原作馆藏与具体创作时间</x:v>
      </x:c>
    </x:row>
    <x:row r="7" ht="52" customHeight="1">
      <x:c r="A7" s="100" t="str">
        <x:v>QH-V-E03</x:v>
      </x:c>
      <x:c r="B7" s="100" t="str">
        <x:v>QH-E-03</x:v>
      </x:c>
      <x:c r="C7" s="100" t="str">
        <x:v>爱新觉罗·福临</x:v>
      </x:c>
      <x:c r="D7" s="100" t="str">
        <x:v>Shunzhi Court portrait</x:v>
      </x:c>
      <x:c r="E7" s="100" t="str">
        <x:v>历史宫廷画像</x:v>
      </x:c>
      <x:c r="F7" s="100" t="str">
        <x:v>17世纪</x:v>
      </x:c>
      <x:c r="G7" s="100" t="str">
        <x:v>佚名</x:v>
      </x:c>
      <x:c r="H7" s="100" t="str">
        <x:v>https://commons.wikimedia.org/wiki/File:Shunzhi_Court_portrait.jpg</x:v>
      </x:c>
      <x:c r="I7" s="100" t="str">
        <x:v>https://upload.wikimedia.org/wikipedia/commons/7/74/Shunzhi_Court_portrait.jpg</x:v>
      </x:c>
      <x:c r="J7" s="100" t="str">
        <x:v>Public domain</x:v>
      </x:c>
      <x:c r="K7" s="100" t="str">
        <x:v>绿</x:v>
      </x:c>
      <x:c r="L7" s="100" t="str">
        <x:v>是</x:v>
      </x:c>
      <x:c r="M7" s="100" t="str">
        <x:v>是</x:v>
      </x:c>
      <x:c r="N7" s="100" t="str">
        <x:v>文件题名明确</x:v>
      </x:c>
      <x:c r="O7" s="100" t="str">
        <x:v>2026-08-12</x:v>
      </x:c>
      <x:c r="P7" s="100" t="str">
        <x:v>使用 Commons 文件并回链文件页</x:v>
      </x:c>
      <x:c r="Q7" s="100" t="str">
        <x:v>进一步核原作馆藏号与版本关系</x:v>
      </x:c>
    </x:row>
    <x:row r="8" ht="52" customHeight="1">
      <x:c r="A8" s="100" t="str">
        <x:v>QH-V-E04</x:v>
      </x:c>
      <x:c r="B8" s="100" t="str">
        <x:v>QH-E-04</x:v>
      </x:c>
      <x:c r="C8" s="100" t="str">
        <x:v>爱新觉罗·玄烨</x:v>
      </x:c>
      <x:c r="D8" s="100" t="str">
        <x:v>Portrait of the Kangxi Emperor in Informal Dress Holding a Brush</x:v>
      </x:c>
      <x:c r="E8" s="100" t="str">
        <x:v>历史宫廷画像</x:v>
      </x:c>
      <x:c r="F8" s="100" t="str">
        <x:v>康熙时期（1662—1722）</x:v>
      </x:c>
      <x:c r="G8" s="100" t="str">
        <x:v>佚名宫廷画家</x:v>
      </x:c>
      <x:c r="H8" s="100" t="str">
        <x:v>https://commons.wikimedia.org/wiki/File:Portrait_of_the_Kangxi_Emperor_in_Informal_Dress_Holding_a_Brush.jpg</x:v>
      </x:c>
      <x:c r="I8" s="100" t="str">
        <x:v>https://upload.wikimedia.org/wikipedia/commons/7/7f/Portrait_of_the_Kangxi_Emperor_in_Informal_Dress_Holding_a_Brush.jpg</x:v>
      </x:c>
      <x:c r="J8" s="100" t="str">
        <x:v>Public domain</x:v>
      </x:c>
      <x:c r="K8" s="100" t="str">
        <x:v>绿</x:v>
      </x:c>
      <x:c r="L8" s="100" t="str">
        <x:v>是</x:v>
      </x:c>
      <x:c r="M8" s="100" t="str">
        <x:v>是</x:v>
      </x:c>
      <x:c r="N8" s="100" t="str">
        <x:v>文件题名明确</x:v>
      </x:c>
      <x:c r="O8" s="100" t="str">
        <x:v>2026-08-12</x:v>
      </x:c>
      <x:c r="P8" s="100" t="str">
        <x:v>非标准朝服像；适合作为多样画像入口</x:v>
      </x:c>
      <x:c r="Q8" s="100" t="str">
        <x:v>核原作当前馆藏与画面制作阶段</x:v>
      </x:c>
    </x:row>
    <x:row r="9" ht="52" customHeight="1">
      <x:c r="A9" s="100" t="str">
        <x:v>QH-V-E05</x:v>
      </x:c>
      <x:c r="B9" s="100" t="str">
        <x:v>QH-E-05</x:v>
      </x:c>
      <x:c r="C9" s="100" t="str">
        <x:v>爱新觉罗·胤禛</x:v>
      </x:c>
      <x:c r="D9" s="100" t="str">
        <x:v>Album of the Yongzheng Emperor in Costumes</x:v>
      </x:c>
      <x:c r="E9" s="100" t="str">
        <x:v>历史角色扮演图册</x:v>
      </x:c>
      <x:c r="F9" s="100" t="str">
        <x:v>1723—1735</x:v>
      </x:c>
      <x:c r="G9" s="100" t="str">
        <x:v>佚名</x:v>
      </x:c>
      <x:c r="H9" s="100" t="str">
        <x:v>https://commons.wikimedia.org/wiki/File:Album_of_the_Yongzheng_Emperor_in_Costumes.jpg</x:v>
      </x:c>
      <x:c r="I9" s="100" t="str">
        <x:v>https://upload.wikimedia.org/wikipedia/commons/e/ef/Album_of_the_Yongzheng_Emperor_in_Costumes.jpg</x:v>
      </x:c>
      <x:c r="J9" s="100" t="str">
        <x:v>Public domain</x:v>
      </x:c>
      <x:c r="K9" s="100" t="str">
        <x:v>绿</x:v>
      </x:c>
      <x:c r="L9" s="100" t="str">
        <x:v>是</x:v>
      </x:c>
      <x:c r="M9" s="100" t="str">
        <x:v>是</x:v>
      </x:c>
      <x:c r="N9" s="100" t="str">
        <x:v>文件题名明确</x:v>
      </x:c>
      <x:c r="O9" s="100" t="str">
        <x:v>2026-08-12</x:v>
      </x:c>
      <x:c r="P9" s="100" t="str">
        <x:v>不是标准御容；符合用户“不局限于标准照片”的要求</x:v>
      </x:c>
      <x:c r="Q9" s="100" t="str">
        <x:v>需拆分图册各开及逐图情境说明</x:v>
      </x:c>
    </x:row>
    <x:row r="10" ht="52" customHeight="1">
      <x:c r="A10" s="100" t="str">
        <x:v>QH-V-E06</x:v>
      </x:c>
      <x:c r="B10" s="100" t="str">
        <x:v>QH-E-06</x:v>
      </x:c>
      <x:c r="C10" s="100" t="str">
        <x:v>爱新觉罗·弘历</x:v>
      </x:c>
      <x:c r="D10" s="100" t="str">
        <x:v>清高宗乾隆帝朝服像</x:v>
      </x:c>
      <x:c r="E10" s="100" t="str">
        <x:v>历史宫廷画像</x:v>
      </x:c>
      <x:c r="F10" s="100" t="str">
        <x:v>1736</x:v>
      </x:c>
      <x:c r="G10" s="100" t="str">
        <x:v>郎世宁</x:v>
      </x:c>
      <x:c r="H10" s="100" t="str">
        <x:v>https://commons.wikimedia.org/wiki/File:%E6%B8%85_%E9%83%8E%E4%B8%96%E5%AE%81%E7%BB%98%E3%80%8A%E6%B8%85%E9%AB%98%E5%AE%97%E4%B9%BE%E9%9A%86%E5%B8%9D%E6%9C%9D%E6%9C%8D%E5%83%8F%E3%80%8B.jpg</x:v>
      </x:c>
      <x:c r="I10" s="100" t="str">
        <x:v>https://upload.wikimedia.org/wikipedia/commons/thumb/1/16/%E6%B8%85_%E9%83%8E%E4%B8%96%E5%AE%81%E7%BB%98%E3%80%8A%E6%B8%85%E9%AB%98%E5%AE%97%E4%B9%BE%E9%9A%86%E5%B8%9D%E6%9C%9D%E6%9C%8D%E5%83%8F%E3%80%8B.jpg/960px-%E6%B8%85_%E9%83%8E%E4%B8%96%E5%AE%81%E7%BB%98%E3%80%8A%E6%B8%85%E9%AB%98%E5%AE%97%E4%B9%BE%E9%9A%86%E5%B8%9D%E6%9C%9D%E6%9C%8D%E5%83%8F%E3%80%8B.jpg</x:v>
      </x:c>
      <x:c r="J10" s="100" t="str">
        <x:v>Public domain</x:v>
      </x:c>
      <x:c r="K10" s="100" t="str">
        <x:v>绿</x:v>
      </x:c>
      <x:c r="L10" s="100" t="str">
        <x:v>是</x:v>
      </x:c>
      <x:c r="M10" s="100" t="str">
        <x:v>是</x:v>
      </x:c>
      <x:c r="N10" s="100" t="str">
        <x:v>文件题名明确</x:v>
      </x:c>
      <x:c r="O10" s="100" t="str">
        <x:v>2026-08-12</x:v>
      </x:c>
      <x:c r="P10" s="100" t="str">
        <x:v>保留作者与故宫原作归属说明</x:v>
      </x:c>
      <x:c r="Q10" s="100" t="str">
        <x:v>核 Commons 数字文件来源链与原作馆藏号</x:v>
      </x:c>
    </x:row>
    <x:row r="11" ht="52" customHeight="1">
      <x:c r="A11" s="100" t="str">
        <x:v>QH-V-E07</x:v>
      </x:c>
      <x:c r="B11" s="100" t="str">
        <x:v>QH-E-07</x:v>
      </x:c>
      <x:c r="C11" s="100" t="str">
        <x:v>爱新觉罗·颙琰</x:v>
      </x:c>
      <x:c r="D11" s="100" t="str">
        <x:v>Emperor Jiaqing</x:v>
      </x:c>
      <x:c r="E11" s="100" t="str">
        <x:v>历史宫廷画像</x:v>
      </x:c>
      <x:c r="F11" s="100" t="str">
        <x:v>19世纪</x:v>
      </x:c>
      <x:c r="G11" s="100" t="str">
        <x:v>佚名宫廷画家</x:v>
      </x:c>
      <x:c r="H11" s="100" t="str">
        <x:v>https://commons.wikimedia.org/wiki/File:Emperor_Jiaqing.jpg</x:v>
      </x:c>
      <x:c r="I11" s="100" t="str">
        <x:v>https://upload.wikimedia.org/wikipedia/commons/4/4b/Emperor_Jiaqing.jpg</x:v>
      </x:c>
      <x:c r="J11" s="100" t="str">
        <x:v>Public domain</x:v>
      </x:c>
      <x:c r="K11" s="100" t="str">
        <x:v>绿</x:v>
      </x:c>
      <x:c r="L11" s="100" t="str">
        <x:v>是</x:v>
      </x:c>
      <x:c r="M11" s="100" t="str">
        <x:v>是</x:v>
      </x:c>
      <x:c r="N11" s="100" t="str">
        <x:v>文件题名明确</x:v>
      </x:c>
      <x:c r="O11" s="100" t="str">
        <x:v>2026-08-12</x:v>
      </x:c>
      <x:c r="P11" s="100" t="str">
        <x:v>使用 Commons 文件并回链文件页</x:v>
      </x:c>
      <x:c r="Q11" s="100" t="str">
        <x:v>文件页年代著录宽泛；需核原作馆藏号</x:v>
      </x:c>
    </x:row>
    <x:row r="12" ht="52" customHeight="1">
      <x:c r="A12" s="100" t="str">
        <x:v>QH-V-E08</x:v>
      </x:c>
      <x:c r="B12" s="100" t="str">
        <x:v>QH-E-08</x:v>
      </x:c>
      <x:c r="C12" s="100" t="str">
        <x:v>爱新觉罗·旻宁</x:v>
      </x:c>
      <x:c r="D12" s="100" t="str">
        <x:v>Emperor Daoguang Sitting in Garden</x:v>
      </x:c>
      <x:c r="E12" s="100" t="str">
        <x:v>历史宫廷行乐图</x:v>
      </x:c>
      <x:c r="F12" s="100" t="str">
        <x:v>清代</x:v>
      </x:c>
      <x:c r="G12" s="100" t="str">
        <x:v>清宫画家</x:v>
      </x:c>
      <x:c r="H12" s="100" t="str">
        <x:v>https://commons.wikimedia.org/wiki/File:Emperor_Daoguang_Sitting_in_Garden.JPG</x:v>
      </x:c>
      <x:c r="I12" s="100" t="str">
        <x:v>https://upload.wikimedia.org/wikipedia/commons/thumb/5/59/Emperor_Daoguang_Sitting_in_Garden.JPG/960px-Emperor_Daoguang_Sitting_in_Garden.JPG</x:v>
      </x:c>
      <x:c r="J12" s="100" t="str">
        <x:v>Public domain</x:v>
      </x:c>
      <x:c r="K12" s="100" t="str">
        <x:v>绿</x:v>
      </x:c>
      <x:c r="L12" s="100" t="str">
        <x:v>是</x:v>
      </x:c>
      <x:c r="M12" s="100" t="str">
        <x:v>是</x:v>
      </x:c>
      <x:c r="N12" s="100" t="str">
        <x:v>文件题名明确</x:v>
      </x:c>
      <x:c r="O12" s="100" t="str">
        <x:v>2026-08-12</x:v>
      </x:c>
      <x:c r="P12" s="100" t="str">
        <x:v>非朝服正像；作为宫廷生活图像入口</x:v>
      </x:c>
      <x:c r="Q12" s="100" t="str">
        <x:v>核对象原题、年代与人物认定依据</x:v>
      </x:c>
    </x:row>
    <x:row r="13" ht="52" customHeight="1">
      <x:c r="A13" s="100" t="str">
        <x:v>QH-V-E09</x:v>
      </x:c>
      <x:c r="B13" s="100" t="str">
        <x:v>QH-E-09</x:v>
      </x:c>
      <x:c r="C13" s="100" t="str">
        <x:v>爱新觉罗·奕詝</x:v>
      </x:c>
      <x:c r="D13" s="100" t="str">
        <x:v>Emperor Xianfeng reading</x:v>
      </x:c>
      <x:c r="E13" s="100" t="str">
        <x:v>历史宫廷行乐图</x:v>
      </x:c>
      <x:c r="F13" s="100" t="str">
        <x:v>19世纪</x:v>
      </x:c>
      <x:c r="G13" s="100" t="str">
        <x:v>佚名宫廷画家</x:v>
      </x:c>
      <x:c r="H13" s="100" t="str">
        <x:v>https://commons.wikimedia.org/wiki/File:Emperor_Xianfeng_reading.jpg</x:v>
      </x:c>
      <x:c r="I13" s="100" t="str">
        <x:v>https://upload.wikimedia.org/wikipedia/commons/f/f4/Emperor_Xianfeng_reading.jpg</x:v>
      </x:c>
      <x:c r="J13" s="100" t="str">
        <x:v>Public domain</x:v>
      </x:c>
      <x:c r="K13" s="100" t="str">
        <x:v>绿</x:v>
      </x:c>
      <x:c r="L13" s="100" t="str">
        <x:v>是</x:v>
      </x:c>
      <x:c r="M13" s="100" t="str">
        <x:v>是</x:v>
      </x:c>
      <x:c r="N13" s="100" t="str">
        <x:v>文件题名明确</x:v>
      </x:c>
      <x:c r="O13" s="100" t="str">
        <x:v>2026-08-12</x:v>
      </x:c>
      <x:c r="P13" s="100" t="str">
        <x:v>非标准朝服像；需要对象页说明场景属性</x:v>
      </x:c>
      <x:c r="Q13" s="100" t="str">
        <x:v>核原作馆藏号与制作年代</x:v>
      </x:c>
    </x:row>
    <x:row r="14" ht="52" customHeight="1">
      <x:c r="A14" s="100" t="str">
        <x:v>QH-V-E10</x:v>
      </x:c>
      <x:c r="B14" s="100" t="str">
        <x:v>QH-E-10</x:v>
      </x:c>
      <x:c r="C14" s="100" t="str">
        <x:v>爱新觉罗·载淳</x:v>
      </x:c>
      <x:c r="D14" s="100" t="str">
        <x:v>Emperor Tongzhi writing</x:v>
      </x:c>
      <x:c r="E14" s="100" t="str">
        <x:v>历史宫廷行乐图</x:v>
      </x:c>
      <x:c r="F14" s="100" t="str">
        <x:v>19世纪</x:v>
      </x:c>
      <x:c r="G14" s="100" t="str">
        <x:v>佚名宫廷画家</x:v>
      </x:c>
      <x:c r="H14" s="100" t="str">
        <x:v>https://commons.wikimedia.org/wiki/File:Emperor_Tongzhi_writing.jpg</x:v>
      </x:c>
      <x:c r="I14" s="100" t="str">
        <x:v>https://upload.wikimedia.org/wikipedia/commons/7/7d/Emperor_Tongzhi_writing.jpg</x:v>
      </x:c>
      <x:c r="J14" s="100" t="str">
        <x:v>Public domain</x:v>
      </x:c>
      <x:c r="K14" s="100" t="str">
        <x:v>绿</x:v>
      </x:c>
      <x:c r="L14" s="100" t="str">
        <x:v>是</x:v>
      </x:c>
      <x:c r="M14" s="100" t="str">
        <x:v>是</x:v>
      </x:c>
      <x:c r="N14" s="100" t="str">
        <x:v>文件题名明确</x:v>
      </x:c>
      <x:c r="O14" s="100" t="str">
        <x:v>2026-08-12</x:v>
      </x:c>
      <x:c r="P14" s="100" t="str">
        <x:v>非标准御容；作为活动场景图像</x:v>
      </x:c>
      <x:c r="Q14" s="100" t="str">
        <x:v>核原作馆藏号及画中人物认定</x:v>
      </x:c>
    </x:row>
    <x:row r="15" ht="52" customHeight="1">
      <x:c r="A15" s="100" t="str">
        <x:v>QH-V-E11</x:v>
      </x:c>
      <x:c r="B15" s="100" t="str">
        <x:v>QH-E-11</x:v>
      </x:c>
      <x:c r="C15" s="100" t="str">
        <x:v>爱新觉罗·载湉</x:v>
      </x:c>
      <x:c r="D15" s="100" t="str">
        <x:v>Emperor Guangxu in Ordinary Clothes</x:v>
      </x:c>
      <x:c r="E15" s="100" t="str">
        <x:v>历史照片</x:v>
      </x:c>
      <x:c r="F15" s="100" t="str">
        <x:v>1906-04-30</x:v>
      </x:c>
      <x:c r="G15" s="100" t="str">
        <x:v>Charles Denby</x:v>
      </x:c>
      <x:c r="H15" s="100" t="str">
        <x:v>https://commons.wikimedia.org/wiki/File:Emperor_Guangxu_in_Ordinary_Clothes.jpg</x:v>
      </x:c>
      <x:c r="I15" s="100" t="str">
        <x:v>https://upload.wikimedia.org/wikipedia/commons/thumb/5/59/Emperor_Guangxu_in_Ordinary_Clothes.jpg/960px-Emperor_Guangxu_in_Ordinary_Clothes.jpg</x:v>
      </x:c>
      <x:c r="J15" s="100" t="str">
        <x:v>Public domain</x:v>
      </x:c>
      <x:c r="K15" s="100" t="str">
        <x:v>绿</x:v>
      </x:c>
      <x:c r="L15" s="100" t="str">
        <x:v>是</x:v>
      </x:c>
      <x:c r="M15" s="100" t="str">
        <x:v>是</x:v>
      </x:c>
      <x:c r="N15" s="100" t="str">
        <x:v>文件题名明确</x:v>
      </x:c>
      <x:c r="O15" s="100" t="str">
        <x:v>2026-08-12</x:v>
      </x:c>
      <x:c r="P15" s="100" t="str">
        <x:v>照片来源注明 China and her people</x:v>
      </x:c>
      <x:c r="Q15" s="100" t="str">
        <x:v>核出版物具体版次页码与拍摄者身份</x:v>
      </x:c>
    </x:row>
    <x:row r="16" ht="52" customHeight="1">
      <x:c r="A16" s="100" t="str">
        <x:v>QH-V-E12</x:v>
      </x:c>
      <x:c r="B16" s="100" t="str">
        <x:v>QH-E-12</x:v>
      </x:c>
      <x:c r="C16" s="100" t="str">
        <x:v>爱新觉罗·溥仪</x:v>
      </x:c>
      <x:c r="D16" s="100" t="str">
        <x:v>Puyi in the Forbidden City</x:v>
      </x:c>
      <x:c r="E16" s="100" t="str">
        <x:v>历史照片</x:v>
      </x:c>
      <x:c r="F16" s="100" t="str">
        <x:v>1914—1924</x:v>
      </x:c>
      <x:c r="G16" s="100" t="str">
        <x:v>作者未明</x:v>
      </x:c>
      <x:c r="H16" s="100" t="str">
        <x:v>https://commons.wikimedia.org/wiki/File:Puyi_in_the_Forbidden_City.jpg</x:v>
      </x:c>
      <x:c r="I16" s="100" t="str">
        <x:v>https://upload.wikimedia.org/wikipedia/commons/6/67/Puyi_in_the_Forbidden_City.jpg</x:v>
      </x:c>
      <x:c r="J16" s="100" t="str">
        <x:v>Public domain</x:v>
      </x:c>
      <x:c r="K16" s="100" t="str">
        <x:v>绿</x:v>
      </x:c>
      <x:c r="L16" s="100" t="str">
        <x:v>是</x:v>
      </x:c>
      <x:c r="M16" s="100" t="str">
        <x:v>是</x:v>
      </x:c>
      <x:c r="N16" s="100" t="str">
        <x:v>文件题名明确</x:v>
      </x:c>
      <x:c r="O16" s="100" t="str">
        <x:v>2026-08-12</x:v>
      </x:c>
      <x:c r="P16" s="100" t="str">
        <x:v>照片摄于退位后紫禁城时期；不可误标为在位期御照</x:v>
      </x:c>
      <x:c r="Q16" s="100" t="str">
        <x:v>继续寻找并核验1908—1912在位期照片</x:v>
      </x:c>
    </x:row>
  </x:sheetData>
  <x:mergeCells>
    <x:mergeCell ref="A1:Q1"/>
    <x:mergeCell ref="A2:Q2"/>
  </x:mergeCells>
  <x:conditionalFormatting sqref="K5:K16">
    <x:cfRule type="containsText" dxfId="10" priority="1" operator="containsText" text="绿"/>
    <x:cfRule type="containsText" dxfId="11" priority="2" operator="containsText" text="黄"/>
    <x:cfRule type="containsText" dxfId="12" priority="3" operator="containsText" text="红"/>
  </x:conditionalFormatting>
  <x:pageMargins left="0.7" right="0.7" top="0.75" bottom="0.75" header="0.3" footer="0.3"/>
  <x:legacyDrawing xmlns:r="http://schemas.openxmlformats.org/officeDocument/2006/relationships" r:id="Rb2db8f8912bf46d8"/>
  <x:tableParts count="1">
    <x:tablePart xmlns:r="http://schemas.openxmlformats.org/officeDocument/2006/relationships" r:id="Rf98c1236c37945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42" hidden="0" customWidth="1"/>
    <x:col min="5" max="5" width="46" hidden="0" customWidth="1"/>
    <x:col min="6" max="6" width="36" hidden="0" customWidth="1"/>
    <x:col min="7" max="7" width="18" hidden="0" customWidth="1"/>
    <x:col min="8" max="8" width="14" hidden="0" customWidth="1"/>
    <x:col min="9" max="9" width="34" hidden="0" customWidth="1"/>
    <x:col min="10" max="10" width="44" hidden="0" customWidth="1"/>
    <x:col min="11" max="11" width="38" hidden="0" customWidth="1"/>
    <x:col min="12" max="12" width="10" hidden="0" customWidth="1"/>
    <x:col min="13" max="13" width="36" hidden="0" customWidth="1"/>
  </x:cols>
  <x:sheetData>
    <x:row r="1" ht="34" customHeight="1">
      <x:c r="A1" s="3" t="str">
        <x:v>持续任务队列</x:v>
      </x:c>
    </x:row>
    <x:row r="2" ht="24" customHeight="1">
      <x:c r="A2" s="6" t="str">
        <x:v>聊天上下文不是项目记忆；每轮从磁盘队列恢复，并记录完成位置、未决问题、下一动作和质量检查</x:v>
      </x:c>
    </x:row>
    <x:row r="4" ht="32" customHeight="1">
      <x:c r="A4" s="92" t="str">
        <x:v>task_id</x:v>
      </x:c>
      <x:c r="B4" s="93" t="str">
        <x:v>emperor_id</x:v>
      </x:c>
      <x:c r="C4" s="93" t="str">
        <x:v>数据包</x:v>
      </x:c>
      <x:c r="D4" s="93" t="str">
        <x:v>任务</x:v>
      </x:c>
      <x:c r="E4" s="93" t="str">
        <x:v>目标来源</x:v>
      </x:c>
      <x:c r="F4" s="93" t="str">
        <x:v>预期产物</x:v>
      </x:c>
      <x:c r="G4" s="93" t="str">
        <x:v>前置任务</x:v>
      </x:c>
      <x:c r="H4" s="93" t="str">
        <x:v>状态</x:v>
      </x:c>
      <x:c r="I4" s="93" t="str">
        <x:v>上次完成位置</x:v>
      </x:c>
      <x:c r="J4" s="93" t="str">
        <x:v>未决问题</x:v>
      </x:c>
      <x:c r="K4" s="93" t="str">
        <x:v>下一步动作</x:v>
      </x:c>
      <x:c r="L4" s="93" t="str">
        <x:v>优先级</x:v>
      </x:c>
      <x:c r="M4" s="94" t="str">
        <x:v>质量检查</x:v>
      </x:c>
    </x:row>
    <x:row r="5" ht="48" customHeight="1">
      <x:c r="A5" s="99" t="str">
        <x:v>TQ-0001</x:v>
      </x:c>
      <x:c r="B5" s="99" t="str">
        <x:v>ALL</x:v>
      </x:c>
      <x:c r="C5" s="99" t="str">
        <x:v>P1身份包</x:v>
      </x:c>
      <x:c r="D5" s="99" t="str">
        <x:v>校正十二帝《清史稿》本纪卷次</x:v>
      </x:c>
      <x:c r="E5" s="99" t="str">
        <x:v>维基文库《清史稿》目录</x:v>
      </x:c>
      <x:c r="F5" s="99" t="str">
        <x:v>qing-emperors.csv卷次字段</x:v>
      </x:c>
      <x:c r="G5" s="99" t="str"/>
      <x:c r="H5" s="99" t="str">
        <x:v>已完成</x:v>
      </x:c>
      <x:c r="I5" s="99" t="str">
        <x:v>卷1—25全部对齐</x:v>
      </x:c>
      <x:c r="J5" s="99" t="str"/>
      <x:c r="K5" s="99" t="str">
        <x:v>冻结映射并纳入自动校验</x:v>
      </x:c>
      <x:c r="L5" s="99" t="str">
        <x:v>P0</x:v>
      </x:c>
      <x:c r="M5" s="99" t="str">
        <x:v>已人工对照目录</x:v>
      </x:c>
    </x:row>
    <x:row r="6" ht="48" customHeight="1">
      <x:c r="A6" s="100" t="str">
        <x:v>TQ-0002</x:v>
      </x:c>
      <x:c r="B6" s="100" t="str">
        <x:v>ALL</x:v>
      </x:c>
      <x:c r="C6" s="100" t="str">
        <x:v>P1身份包</x:v>
      </x:c>
      <x:c r="D6" s="100" t="str">
        <x:v>建立十二帝骨架</x:v>
      </x:c>
      <x:c r="E6" s="100" t="str">
        <x:v>故宫宫廷世系＋《清史稿》目录</x:v>
      </x:c>
      <x:c r="F6" s="100" t="str">
        <x:v>qing-emperors.csv</x:v>
      </x:c>
      <x:c r="G6" s="100" t="str">
        <x:v>TQ-0001</x:v>
      </x:c>
      <x:c r="H6" s="100" t="str">
        <x:v>已完成</x:v>
      </x:c>
      <x:c r="I6" s="100" t="str">
        <x:v>12条人物已建</x:v>
      </x:c>
      <x:c r="J6" s="100" t="str">
        <x:v>在位年份需拆分即位与年号口径</x:v>
      </x:c>
      <x:c r="K6" s="100" t="str">
        <x:v>扩展到日期级事件</x:v>
      </x:c>
      <x:c r="L6" s="100" t="str">
        <x:v>P0</x:v>
      </x:c>
      <x:c r="M6" s="100" t="str">
        <x:v>12条且继承链连续</x:v>
      </x:c>
    </x:row>
    <x:row r="7" ht="48" customHeight="1">
      <x:c r="A7" s="100" t="str">
        <x:v>TQ-0003</x:v>
      </x:c>
      <x:c r="B7" s="100" t="str">
        <x:v>ALL</x:v>
      </x:c>
      <x:c r="C7" s="100" t="str">
        <x:v>P0来源包</x:v>
      </x:c>
      <x:c r="D7" s="100" t="str">
        <x:v>登记每帝官方人物页和通用史料入口</x:v>
      </x:c>
      <x:c r="E7" s="100" t="str">
        <x:v>故宫＋一史馆＋维基文库</x:v>
      </x:c>
      <x:c r="F7" s="100" t="str">
        <x:v>qing-emperor-source-index.csv</x:v>
      </x:c>
      <x:c r="G7" s="100" t="str">
        <x:v>TQ-0002</x:v>
      </x:c>
      <x:c r="H7" s="100" t="str">
        <x:v>已完成</x:v>
      </x:c>
      <x:c r="I7" s="100" t="str">
        <x:v>16条入口已登记</x:v>
      </x:c>
      <x:c r="J7" s="100" t="str">
        <x:v>各朝实录具体卷数仍需回查</x:v>
      </x:c>
      <x:c r="K7" s="100" t="str">
        <x:v>逐帝补实录版本与卷数</x:v>
      </x:c>
      <x:c r="L7" s="100" t="str">
        <x:v>P0</x:v>
      </x:c>
      <x:c r="M7" s="100" t="str">
        <x:v>每帝至少一个官方人物页</x:v>
      </x:c>
    </x:row>
    <x:row r="8" ht="48" customHeight="1">
      <x:c r="A8" s="100" t="str">
        <x:v>TQ-0004</x:v>
      </x:c>
      <x:c r="B8" s="100" t="str">
        <x:v>ALL</x:v>
      </x:c>
      <x:c r="C8" s="100" t="str">
        <x:v>P5图像包</x:v>
      </x:c>
      <x:c r="D8" s="100" t="str">
        <x:v>为十二帝登记一件公版画像或照片</x:v>
      </x:c>
      <x:c r="E8" s="100" t="str">
        <x:v>Wikimedia Commons逐文件页</x:v>
      </x:c>
      <x:c r="F8" s="100" t="str">
        <x:v>emperor-portraits.csv</x:v>
      </x:c>
      <x:c r="G8" s="100" t="str">
        <x:v>TQ-0002</x:v>
      </x:c>
      <x:c r="H8" s="100" t="str">
        <x:v>已完成</x:v>
      </x:c>
      <x:c r="I8" s="100" t="str">
        <x:v>12条候选已登记</x:v>
      </x:c>
      <x:c r="J8" s="100" t="str">
        <x:v>部分文件原作馆藏号及来源链待核</x:v>
      </x:c>
      <x:c r="K8" s="100" t="str">
        <x:v>逐件补馆藏号与版本关系</x:v>
      </x:c>
      <x:c r="L8" s="100" t="str">
        <x:v>P0</x:v>
      </x:c>
      <x:c r="M8" s="100" t="str">
        <x:v>12条均有文件页与许可状态</x:v>
      </x:c>
    </x:row>
    <x:row r="9" ht="48" customHeight="1">
      <x:c r="A9" s="100" t="str">
        <x:v>TQ-0005</x:v>
      </x:c>
      <x:c r="B9" s="100" t="str">
        <x:v>QH-E-04</x:v>
      </x:c>
      <x:c r="C9" s="100" t="str">
        <x:v>P0来源包</x:v>
      </x:c>
      <x:c r="D9" s="100" t="str">
        <x:v>建立康熙卷来源清单</x:v>
      </x:c>
      <x:c r="E9" s="100" t="str">
        <x:v>《圣祖实录》《康熙起居注》玉牒目录与档案目录</x:v>
      </x:c>
      <x:c r="F9" s="100" t="str">
        <x:v>康熙来源表</x:v>
      </x:c>
      <x:c r="G9" s="100" t="str">
        <x:v>TQ-0003</x:v>
      </x:c>
      <x:c r="H9" s="100" t="str">
        <x:v>进行中</x:v>
      </x:c>
      <x:c r="I9" s="100" t="str">
        <x:v>已登记卷1即位条与卷300遗诏条并核数字底本</x:v>
      </x:c>
      <x:c r="J9" s="100" t="str">
        <x:v>可公开访问的起居注与玉牒范围不完整</x:v>
      </x:c>
      <x:c r="K9" s="100" t="str">
        <x:v>继续查卷300当日第1条及起居注玉牒入口</x:v>
      </x:c>
      <x:c r="L9" s="100" t="str">
        <x:v>P0</x:v>
      </x:c>
      <x:c r="M9" s="100" t="str">
        <x:v>两条来源均有卷年月日条次直接URL与底本说明</x:v>
      </x:c>
    </x:row>
    <x:row r="10" ht="48" customHeight="1">
      <x:c r="A10" s="100" t="str">
        <x:v>TQ-0006</x:v>
      </x:c>
      <x:c r="B10" s="100" t="str">
        <x:v>QH-E-04</x:v>
      </x:c>
      <x:c r="C10" s="100" t="str">
        <x:v>P1身份包</x:v>
      </x:c>
      <x:c r="D10" s="100" t="str">
        <x:v>核对康熙姓名称号生卒即位崩逝</x:v>
      </x:c>
      <x:c r="E10" s="100" t="str">
        <x:v>《圣祖实录》卷首卷末＋故宫人物页</x:v>
      </x:c>
      <x:c r="F10" s="100" t="str">
        <x:v>20—30条原子主张</x:v>
      </x:c>
      <x:c r="G10" s="100" t="str">
        <x:v>TQ-0005</x:v>
      </x:c>
      <x:c r="H10" s="100" t="str">
        <x:v>进行中</x:v>
      </x:c>
      <x:c r="I10" s="100" t="str">
        <x:v>已从即位条与遗诏条拆28条审核中主张</x:v>
      </x:c>
      <x:c r="J10" s="100" t="str">
        <x:v>崩逝过程的当日第1条尚未直接打开核验</x:v>
      </x:c>
      <x:c r="K10" s="100" t="str">
        <x:v>补核死亡地点时刻并由用户抽查5条</x:v>
      </x:c>
      <x:c r="L10" s="100" t="str">
        <x:v>P0</x:v>
      </x:c>
      <x:c r="M10" s="100" t="str">
        <x:v>28条均绑定来源单元且未冒充H1审核</x:v>
      </x:c>
    </x:row>
    <x:row r="11" ht="48" customHeight="1">
      <x:c r="A11" s="100" t="str">
        <x:v>TQ-0007</x:v>
      </x:c>
      <x:c r="B11" s="100" t="str">
        <x:v>QH-E-04</x:v>
      </x:c>
      <x:c r="C11" s="100" t="str">
        <x:v>P2家庭包</x:v>
      </x:c>
      <x:c r="D11" s="100" t="str">
        <x:v>核对康熙四位皇后及追尊时间</x:v>
      </x:c>
      <x:c r="E11" s="100" t="str">
        <x:v>《清史稿》卷214＋实录册立追谥条＋玉牒线索</x:v>
      </x:c>
      <x:c r="F11" s="100" t="str">
        <x:v>皇后身份与称号时间轴</x:v>
      </x:c>
      <x:c r="G11" s="100" t="str">
        <x:v>TQ-0005</x:v>
      </x:c>
      <x:c r="H11" s="100" t="str">
        <x:v>未开始</x:v>
      </x:c>
      <x:c r="I11" s="100" t="str"/>
      <x:c r="J11" s="100" t="str">
        <x:v>皇后身份不可只用最终谥号</x:v>
      </x:c>
      <x:c r="K11" s="100" t="str">
        <x:v>先建四人稳定ID</x:v>
      </x:c>
      <x:c r="L11" s="100" t="str">
        <x:v>P0</x:v>
      </x:c>
      <x:c r="M11" s="100" t="str"/>
    </x:row>
    <x:row r="12" ht="48" customHeight="1">
      <x:c r="A12" s="100" t="str">
        <x:v>TQ-0008</x:v>
      </x:c>
      <x:c r="B12" s="100" t="str">
        <x:v>QH-E-04</x:v>
      </x:c>
      <x:c r="C12" s="100" t="str">
        <x:v>P2家庭包</x:v>
      </x:c>
      <x:c r="D12" s="100" t="str">
        <x:v>建立康熙皇子全表与多种排行口径</x:v>
      </x:c>
      <x:c r="E12" s="100" t="str">
        <x:v>《清史稿》卷164＋实录＋玉牒线索</x:v>
      </x:c>
      <x:c r="F12" s="100" t="str">
        <x:v>皇子人物表和关系边</x:v>
      </x:c>
      <x:c r="G12" s="100" t="str">
        <x:v>TQ-0005</x:v>
      </x:c>
      <x:c r="H12" s="100" t="str">
        <x:v>未开始</x:v>
      </x:c>
      <x:c r="I12" s="100" t="str"/>
      <x:c r="J12" s="100" t="str">
        <x:v>早夭与齿序可能随来源口径变化</x:v>
      </x:c>
      <x:c r="K12" s="100" t="str">
        <x:v>先录《清史稿》表再逐条降级标S</x:v>
      </x:c>
      <x:c r="L12" s="100" t="str">
        <x:v>P0</x:v>
      </x:c>
      <x:c r="M12" s="100" t="str"/>
    </x:row>
    <x:row r="13" ht="48" customHeight="1">
      <x:c r="A13" s="100" t="str">
        <x:v>TQ-0009</x:v>
      </x:c>
      <x:c r="B13" s="100" t="str">
        <x:v>QH-E-04</x:v>
      </x:c>
      <x:c r="C13" s="100" t="str">
        <x:v>P2家庭包</x:v>
      </x:c>
      <x:c r="D13" s="100" t="str">
        <x:v>建立康熙皇女和公主表</x:v>
      </x:c>
      <x:c r="E13" s="100" t="str">
        <x:v>《清史稿》卷166＋实录册封条＋玉牒线索</x:v>
      </x:c>
      <x:c r="F13" s="100" t="str">
        <x:v>皇女人物表和婚姻关系</x:v>
      </x:c>
      <x:c r="G13" s="100" t="str">
        <x:v>TQ-0005</x:v>
      </x:c>
      <x:c r="H13" s="100" t="str">
        <x:v>未开始</x:v>
      </x:c>
      <x:c r="I13" s="100" t="str"/>
      <x:c r="J13" s="100" t="str">
        <x:v>称号与齿序需时态化</x:v>
      </x:c>
      <x:c r="K13" s="100" t="str">
        <x:v>从卷166建立候选</x:v>
      </x:c>
      <x:c r="L13" s="100" t="str">
        <x:v>P1</x:v>
      </x:c>
      <x:c r="M13" s="100" t="str"/>
    </x:row>
    <x:row r="14" ht="48" customHeight="1">
      <x:c r="A14" s="100" t="str">
        <x:v>TQ-0010</x:v>
      </x:c>
      <x:c r="B14" s="100" t="str">
        <x:v>QH-E-04</x:v>
      </x:c>
      <x:c r="C14" s="100" t="str">
        <x:v>P3年表包</x:v>
      </x:c>
      <x:c r="D14" s="100" t="str">
        <x:v>建立1661—1722统治年表</x:v>
      </x:c>
      <x:c r="E14" s="100" t="str">
        <x:v>《圣祖实录》逐年目录＋《清史稿》卷6—8</x:v>
      </x:c>
      <x:c r="F14" s="100" t="str">
        <x:v>40—60个事件</x:v>
      </x:c>
      <x:c r="G14" s="100" t="str">
        <x:v>TQ-0006</x:v>
      </x:c>
      <x:c r="H14" s="100" t="str">
        <x:v>未开始</x:v>
      </x:c>
      <x:c r="I14" s="100" t="str"/>
      <x:c r="J14" s="100" t="str">
        <x:v>实录为官修史料不是原档</x:v>
      </x:c>
      <x:c r="K14" s="100" t="str">
        <x:v>先按十年分段建任务</x:v>
      </x:c>
      <x:c r="L14" s="100" t="str">
        <x:v>P0</x:v>
      </x:c>
      <x:c r="M14" s="100" t="str"/>
    </x:row>
    <x:row r="15" ht="48" customHeight="1">
      <x:c r="A15" s="100" t="str">
        <x:v>TQ-0011</x:v>
      </x:c>
      <x:c r="B15" s="100" t="str">
        <x:v>QH-E-04</x:v>
      </x:c>
      <x:c r="C15" s="100" t="str">
        <x:v>P4统治专题包</x:v>
      </x:c>
      <x:c r="D15" s="100" t="str">
        <x:v>两废太子与储位事件链</x:v>
      </x:c>
      <x:c r="E15" s="100" t="str">
        <x:v>《圣祖实录》＋起居注＋相关奏折目录</x:v>
      </x:c>
      <x:c r="F15" s="100" t="str">
        <x:v>事件主张和冲突组</x:v>
      </x:c>
      <x:c r="G15" s="100" t="str">
        <x:v>TQ-0008</x:v>
      </x:c>
      <x:c r="H15" s="100" t="str">
        <x:v>未开始</x:v>
      </x:c>
      <x:c r="I15" s="100" t="str"/>
      <x:c r="J15" s="100" t="str">
        <x:v>“九子夺嫡”不能作为单一事件</x:v>
      </x:c>
      <x:c r="K15" s="100" t="str">
        <x:v>按立储废储复立再废拆分</x:v>
      </x:c>
      <x:c r="L15" s="100" t="str">
        <x:v>P0</x:v>
      </x:c>
      <x:c r="M15" s="100" t="str"/>
    </x:row>
    <x:row r="16" ht="48" customHeight="1">
      <x:c r="A16" s="100" t="str">
        <x:v>TQ-0012</x:v>
      </x:c>
      <x:c r="B16" s="100" t="str">
        <x:v>QH-E-04</x:v>
      </x:c>
      <x:c r="C16" s="100" t="str">
        <x:v>P4统治专题包</x:v>
      </x:c>
      <x:c r="D16" s="100" t="str">
        <x:v>三藩战争专题</x:v>
      </x:c>
      <x:c r="E16" s="100" t="str">
        <x:v>《圣祖实录》＋平定三逆方略＋现代研究目录</x:v>
      </x:c>
      <x:c r="F16" s="100" t="str">
        <x:v>事件与参与者网络</x:v>
      </x:c>
      <x:c r="G16" s="100" t="str">
        <x:v>TQ-0010</x:v>
      </x:c>
      <x:c r="H16" s="100" t="str">
        <x:v>未开始</x:v>
      </x:c>
      <x:c r="I16" s="100" t="str"/>
      <x:c r="J16" s="100" t="str">
        <x:v>官方方略有编纂立场</x:v>
      </x:c>
      <x:c r="K16" s="100" t="str">
        <x:v>先建时间线再加不同叙述</x:v>
      </x:c>
      <x:c r="L16" s="100" t="str">
        <x:v>P1</x:v>
      </x:c>
      <x:c r="M16" s="100" t="str"/>
    </x:row>
    <x:row r="17" ht="48" customHeight="1">
      <x:c r="A17" s="100" t="str">
        <x:v>TQ-0013</x:v>
      </x:c>
      <x:c r="B17" s="100" t="str">
        <x:v>QH-E-04</x:v>
      </x:c>
      <x:c r="C17" s="100" t="str">
        <x:v>P4统治专题包</x:v>
      </x:c>
      <x:c r="D17" s="100" t="str">
        <x:v>台湾与施琅专题</x:v>
      </x:c>
      <x:c r="E17" s="100" t="str">
        <x:v>《圣祖实录》＋平台纪略等</x:v>
      </x:c>
      <x:c r="F17" s="100" t="str">
        <x:v>事件和人物网络</x:v>
      </x:c>
      <x:c r="G17" s="100" t="str">
        <x:v>TQ-0010</x:v>
      </x:c>
      <x:c r="H17" s="100" t="str">
        <x:v>未开始</x:v>
      </x:c>
      <x:c r="I17" s="100" t="str"/>
      <x:c r="J17" s="100" t="str">
        <x:v>术语与主权叙事需避免现代概念倒灌</x:v>
      </x:c>
      <x:c r="K17" s="100" t="str">
        <x:v>先做来源登记</x:v>
      </x:c>
      <x:c r="L17" s="100" t="str">
        <x:v>P1</x:v>
      </x:c>
      <x:c r="M17" s="100" t="str"/>
    </x:row>
    <x:row r="18" ht="48" customHeight="1">
      <x:c r="A18" s="100" t="str">
        <x:v>TQ-0014</x:v>
      </x:c>
      <x:c r="B18" s="100" t="str">
        <x:v>QH-E-04</x:v>
      </x:c>
      <x:c r="C18" s="100" t="str">
        <x:v>P4统治专题包</x:v>
      </x:c>
      <x:c r="D18" s="100" t="str">
        <x:v>雅克萨与尼布楚条约专题</x:v>
      </x:c>
      <x:c r="E18" s="100" t="str">
        <x:v>满汉俄多语文本目录＋《圣祖实录》</x:v>
      </x:c>
      <x:c r="F18" s="100" t="str">
        <x:v>条约事件与异文</x:v>
      </x:c>
      <x:c r="G18" s="100" t="str">
        <x:v>TQ-0010</x:v>
      </x:c>
      <x:c r="H18" s="100" t="str">
        <x:v>未开始</x:v>
      </x:c>
      <x:c r="I18" s="100" t="str"/>
      <x:c r="J18" s="100" t="str">
        <x:v>俄文拉丁文满文版本差异</x:v>
      </x:c>
      <x:c r="K18" s="100" t="str">
        <x:v>先登记版本不自动翻译</x:v>
      </x:c>
      <x:c r="L18" s="100" t="str">
        <x:v>P1</x:v>
      </x:c>
      <x:c r="M18" s="100" t="str"/>
    </x:row>
    <x:row r="19" ht="48" customHeight="1">
      <x:c r="A19" s="100" t="str">
        <x:v>TQ-0015</x:v>
      </x:c>
      <x:c r="B19" s="100" t="str">
        <x:v>QH-E-04</x:v>
      </x:c>
      <x:c r="C19" s="100" t="str">
        <x:v>P4统治专题包</x:v>
      </x:c>
      <x:c r="D19" s="100" t="str">
        <x:v>噶尔丹战争专题</x:v>
      </x:c>
      <x:c r="E19" s="100" t="str">
        <x:v>《圣祖实录》＋平定朔漠方略</x:v>
      </x:c>
      <x:c r="F19" s="100" t="str">
        <x:v>事件参与者与地点</x:v>
      </x:c>
      <x:c r="G19" s="100" t="str">
        <x:v>TQ-0010</x:v>
      </x:c>
      <x:c r="H19" s="100" t="str">
        <x:v>未开始</x:v>
      </x:c>
      <x:c r="I19" s="100" t="str"/>
      <x:c r="J19" s="100" t="str">
        <x:v>地名异写和现代坐标需核</x:v>
      </x:c>
      <x:c r="K19" s="100" t="str">
        <x:v>先建原始地名表</x:v>
      </x:c>
      <x:c r="L19" s="100" t="str">
        <x:v>P1</x:v>
      </x:c>
      <x:c r="M19" s="100" t="str"/>
    </x:row>
    <x:row r="20" ht="48" customHeight="1">
      <x:c r="A20" s="100" t="str">
        <x:v>TQ-0016</x:v>
      </x:c>
      <x:c r="B20" s="100" t="str">
        <x:v>QH-E-04</x:v>
      </x:c>
      <x:c r="C20" s="100" t="str">
        <x:v>P4统治专题包</x:v>
      </x:c>
      <x:c r="D20" s="100" t="str">
        <x:v>河工财政蠲赋专题</x:v>
      </x:c>
      <x:c r="E20" s="100" t="str">
        <x:v>《圣祖实录》＋会典＋户部档目录</x:v>
      </x:c>
      <x:c r="F20" s="100" t="str">
        <x:v>制度主张</x:v>
      </x:c>
      <x:c r="G20" s="100" t="str">
        <x:v>TQ-0010</x:v>
      </x:c>
      <x:c r="H20" s="100" t="str">
        <x:v>未开始</x:v>
      </x:c>
      <x:c r="I20" s="100" t="str"/>
      <x:c r="J20" s="100" t="str">
        <x:v>政策宣示与执行效果不可混写</x:v>
      </x:c>
      <x:c r="K20" s="100" t="str">
        <x:v>分别建规范主张与效果证据</x:v>
      </x:c>
      <x:c r="L20" s="100" t="str">
        <x:v>P1</x:v>
      </x:c>
      <x:c r="M20" s="100" t="str"/>
    </x:row>
    <x:row r="21" ht="48" customHeight="1">
      <x:c r="A21" s="100" t="str">
        <x:v>TQ-0017</x:v>
      </x:c>
      <x:c r="B21" s="100" t="str">
        <x:v>QH-E-04</x:v>
      </x:c>
      <x:c r="C21" s="100" t="str">
        <x:v>P4统治专题包</x:v>
      </x:c>
      <x:c r="D21" s="100" t="str">
        <x:v>西学与礼仪之争专题</x:v>
      </x:c>
      <x:c r="E21" s="100" t="str">
        <x:v>实录＋传教士书信目录＋现代研究</x:v>
      </x:c>
      <x:c r="F21" s="100" t="str">
        <x:v>人物事件与冲突主张</x:v>
      </x:c>
      <x:c r="G21" s="100" t="str">
        <x:v>TQ-0010</x:v>
      </x:c>
      <x:c r="H21" s="100" t="str">
        <x:v>未开始</x:v>
      </x:c>
      <x:c r="I21" s="100" t="str"/>
      <x:c r="J21" s="100" t="str">
        <x:v>跨语种二手转述风险</x:v>
      </x:c>
      <x:c r="K21" s="100" t="str">
        <x:v>先建来源家族</x:v>
      </x:c>
      <x:c r="L21" s="100" t="str">
        <x:v>P1</x:v>
      </x:c>
      <x:c r="M21" s="100" t="str"/>
    </x:row>
    <x:row r="22" ht="48" customHeight="1">
      <x:c r="A22" s="100" t="str">
        <x:v>TQ-0018</x:v>
      </x:c>
      <x:c r="B22" s="100" t="str">
        <x:v>QH-E-04</x:v>
      </x:c>
      <x:c r="C22" s="100" t="str">
        <x:v>P5文献图像包</x:v>
      </x:c>
      <x:c r="D22" s="100" t="str">
        <x:v>核康熙代表画像原作馆藏与版本</x:v>
      </x:c>
      <x:c r="E22" s="100" t="str">
        <x:v>Commons文件页＋馆方对象页</x:v>
      </x:c>
      <x:c r="F22" s="100" t="str">
        <x:v>图像对象记录</x:v>
      </x:c>
      <x:c r="G22" s="100" t="str">
        <x:v>TQ-0004</x:v>
      </x:c>
      <x:c r="H22" s="100" t="str">
        <x:v>未开始</x:v>
      </x:c>
      <x:c r="I22" s="100" t="str"/>
      <x:c r="J22" s="100" t="str">
        <x:v>公版文件许可不等于对象认定无误</x:v>
      </x:c>
      <x:c r="K22" s="100" t="str">
        <x:v>先核写字像与朝服像</x:v>
      </x:c>
      <x:c r="L22" s="100" t="str">
        <x:v>P0</x:v>
      </x:c>
      <x:c r="M22" s="100" t="str"/>
    </x:row>
    <x:row r="23" ht="48" customHeight="1">
      <x:c r="A23" s="100" t="str">
        <x:v>TQ-0019</x:v>
      </x:c>
      <x:c r="B23" s="100" t="str">
        <x:v>QH-E-04</x:v>
      </x:c>
      <x:c r="C23" s="100" t="str">
        <x:v>P6争议审计包</x:v>
      </x:c>
      <x:c r="D23" s="100" t="str">
        <x:v>建立康熙遗诏与雍正即位冲突组</x:v>
      </x:c>
      <x:c r="E23" s="100" t="str">
        <x:v>遗诏满汉文本＋实录＋起居注＋档案目录</x:v>
      </x:c>
      <x:c r="F23" s="100" t="str">
        <x:v>8—12张争议卡片</x:v>
      </x:c>
      <x:c r="G23" s="100" t="str">
        <x:v>TQ-0011</x:v>
      </x:c>
      <x:c r="H23" s="100" t="str">
        <x:v>未开始</x:v>
      </x:c>
      <x:c r="I23" s="100" t="str"/>
      <x:c r="J23" s="100" t="str">
        <x:v>改诏说各版本需追溯最早来源</x:v>
      </x:c>
      <x:c r="K23" s="100" t="str">
        <x:v>先只登记可见文本和主张者</x:v>
      </x:c>
      <x:c r="L23" s="100" t="str">
        <x:v>P0</x:v>
      </x:c>
      <x:c r="M23" s="100" t="str"/>
    </x:row>
    <x:row r="24" ht="48" customHeight="1">
      <x:c r="A24" s="100" t="str">
        <x:v>TQ-0020</x:v>
      </x:c>
      <x:c r="B24" s="100" t="str">
        <x:v>QH-E-05</x:v>
      </x:c>
      <x:c r="C24" s="100" t="str">
        <x:v>P0来源包</x:v>
      </x:c>
      <x:c r="D24" s="100" t="str">
        <x:v>建立雍正卷来源清单</x:v>
      </x:c>
      <x:c r="E24" s="100" t="str">
        <x:v>《世宗实录》朱批谕旨起居注册档案目录</x:v>
      </x:c>
      <x:c r="F24" s="100" t="str">
        <x:v>雍正来源表</x:v>
      </x:c>
      <x:c r="G24" s="100" t="str">
        <x:v>TQ-0003</x:v>
      </x:c>
      <x:c r="H24" s="100" t="str">
        <x:v>未开始</x:v>
      </x:c>
      <x:c r="I24" s="100" t="str"/>
      <x:c r="J24" s="100" t="str"/>
      <x:c r="K24" s="100" t="str">
        <x:v>复用康熙共享人物后开始</x:v>
      </x:c>
      <x:c r="L24" s="100" t="str">
        <x:v>P1</x:v>
      </x:c>
      <x:c r="M24" s="100" t="str"/>
    </x:row>
    <x:row r="25" ht="48" customHeight="1">
      <x:c r="A25" s="100" t="str">
        <x:v>TQ-0021</x:v>
      </x:c>
      <x:c r="B25" s="100" t="str">
        <x:v>ALL</x:v>
      </x:c>
      <x:c r="C25" s="100" t="str">
        <x:v>P5文献包</x:v>
      </x:c>
      <x:c r="D25" s="100" t="str">
        <x:v>建立《清史稿》帝后皇子公主索引</x:v>
      </x:c>
      <x:c r="E25" s="100" t="str">
        <x:v>卷1—25卷161—167卷214</x:v>
      </x:c>
      <x:c r="F25" s="100" t="str">
        <x:v>章节索引表</x:v>
      </x:c>
      <x:c r="G25" s="100" t="str">
        <x:v>TQ-0001</x:v>
      </x:c>
      <x:c r="H25" s="100" t="str">
        <x:v>进行中</x:v>
      </x:c>
      <x:c r="I25" s="100" t="str">
        <x:v>已定位本纪卷次与卷164—166卷214</x:v>
      </x:c>
      <x:c r="J25" s="100" t="str">
        <x:v>各卷细目尚未拆到人物</x:v>
      </x:c>
      <x:c r="K25" s="100" t="str">
        <x:v>逐卷拆分人名与条目</x:v>
      </x:c>
      <x:c r="L25" s="100" t="str">
        <x:v>P0</x:v>
      </x:c>
      <x:c r="M25" s="100" t="str"/>
    </x:row>
    <x:row r="26" ht="48" customHeight="1">
      <x:c r="A26" s="100" t="str">
        <x:v>TQ-0022</x:v>
      </x:c>
      <x:c r="B26" s="100" t="str">
        <x:v>ALL</x:v>
      </x:c>
      <x:c r="C26" s="100" t="str">
        <x:v>P5玉牒包</x:v>
      </x:c>
      <x:c r="D26" s="100" t="str">
        <x:v>建立公开玉牒资源和版本目录</x:v>
      </x:c>
      <x:c r="E26" s="100" t="str">
        <x:v>一史馆宗人府目录＋公开馆藏说明</x:v>
      </x:c>
      <x:c r="F26" s="100" t="str">
        <x:v>玉牒来源目录</x:v>
      </x:c>
      <x:c r="G26" s="100" t="str">
        <x:v>TQ-0003</x:v>
      </x:c>
      <x:c r="H26" s="100" t="str">
        <x:v>未开始</x:v>
      </x:c>
      <x:c r="I26" s="100" t="str"/>
      <x:c r="J26" s="100" t="str">
        <x:v>零预算无法承诺完整原件</x:v>
      </x:c>
      <x:c r="K26" s="100" t="str">
        <x:v>先做版本级目录与待核状态</x:v>
      </x:c>
      <x:c r="L26" s="100" t="str">
        <x:v>P0</x:v>
      </x:c>
      <x:c r="M26" s="100" t="str"/>
    </x:row>
    <x:row r="27" ht="48" customHeight="1">
      <x:c r="A27" s="100" t="str">
        <x:v>TQ-0023</x:v>
      </x:c>
      <x:c r="B27" s="100" t="str">
        <x:v>ALL</x:v>
      </x:c>
      <x:c r="C27" s="100" t="str">
        <x:v>P7发布包</x:v>
      </x:c>
      <x:c r="D27" s="100" t="str">
        <x:v>生成十二帝本地导航页</x:v>
      </x:c>
      <x:c r="E27" s="100" t="str">
        <x:v>结构化CSV＋公版画像</x:v>
      </x:c>
      <x:c r="F27" s="100" t="str">
        <x:v>静态本地页面</x:v>
      </x:c>
      <x:c r="G27" s="100" t="str">
        <x:v>TQ-0004</x:v>
      </x:c>
      <x:c r="H27" s="100" t="str">
        <x:v>未开始</x:v>
      </x:c>
      <x:c r="I27" s="100" t="str"/>
      <x:c r="J27" s="100" t="str">
        <x:v>叙事只能来自已回查主张</x:v>
      </x:c>
      <x:c r="K27" s="100" t="str">
        <x:v>先做骨架页面并标研究稿</x:v>
      </x:c>
      <x:c r="L27" s="100" t="str">
        <x:v>P1</x:v>
      </x:c>
      <x:c r="M27" s="100" t="str"/>
    </x:row>
    <x:row r="28" ht="48" customHeight="1">
      <x:c r="A28" s="100" t="str">
        <x:v>TQ-0024</x:v>
      </x:c>
      <x:c r="B28" s="100" t="str">
        <x:v>ALL</x:v>
      </x:c>
      <x:c r="C28" s="100" t="str">
        <x:v>P6质量包</x:v>
      </x:c>
      <x:c r="D28" s="100" t="str">
        <x:v>建立自动一致性检查</x:v>
      </x:c>
      <x:c r="E28" s="100" t="str">
        <x:v>全部CSV</x:v>
      </x:c>
      <x:c r="F28" s="100" t="str">
        <x:v>ID重复外键卷次许可状态报告</x:v>
      </x:c>
      <x:c r="G28" s="100" t="str">
        <x:v>TQ-0004</x:v>
      </x:c>
      <x:c r="H28" s="100" t="str">
        <x:v>已完成</x:v>
      </x:c>
      <x:c r="I28" s="100" t="str">
        <x:v>已建立零依赖校验脚本并覆盖行数唯一ID卷次许可引用</x:v>
      </x:c>
      <x:c r="J28" s="100" t="str">
        <x:v>需随新数据持续扩展规则</x:v>
      </x:c>
      <x:c r="K28" s="100" t="str">
        <x:v>每次改表后运行node scripts/validate-data.mjs</x:v>
      </x:c>
      <x:c r="L28" s="100" t="str">
        <x:v>P0</x:v>
      </x:c>
      <x:c r="M28" s="100" t="str">
        <x:v>脚本失败即禁止重建发布工作簿</x:v>
      </x:c>
    </x:row>
    <x:row r="29" ht="48" customHeight="1">
      <x:c r="A29" s="100" t="str">
        <x:v>TQ-0025</x:v>
      </x:c>
      <x:c r="B29" s="100" t="str">
        <x:v>ALL</x:v>
      </x:c>
      <x:c r="C29" s="100" t="str">
        <x:v>P1身份包</x:v>
      </x:c>
      <x:c r="D29" s="100" t="str">
        <x:v>统一十二帝人物ID</x:v>
      </x:c>
      <x:c r="E29" s="100" t="str">
        <x:v>QH-E展示表＋QH-P人物表</x:v>
      </x:c>
      <x:c r="F29" s="100" t="str">
        <x:v>entity-id-crosswalk.csv与迁移后人物表</x:v>
      </x:c>
      <x:c r="G29" s="100" t="str">
        <x:v>TQ-0002</x:v>
      </x:c>
      <x:c r="H29" s="100" t="str">
        <x:v>进行中</x:v>
      </x:c>
      <x:c r="I29" s="100" t="str">
        <x:v>已识别玄烨胤禛弘历三组重复</x:v>
      </x:c>
      <x:c r="J29" s="100" t="str">
        <x:v>皇帝是人物的时态称号不是独立实体类型</x:v>
      </x:c>
      <x:c r="K29" s="100" t="str">
        <x:v>按crosswalk把九帝补为QH-P-000051至000059并停止新增QH-E</x:v>
      </x:c>
      <x:c r="L29" s="100" t="str">
        <x:v>P0</x:v>
      </x:c>
      <x:c r="M29" s="100" t="str">
        <x:v>不得保留重复人物实体</x:v>
      </x:c>
    </x:row>
  </x:sheetData>
  <x:mergeCells>
    <x:mergeCell ref="A1:M1"/>
    <x:mergeCell ref="A2:M2"/>
  </x:mergeCells>
  <x:conditionalFormatting sqref="H5:H29">
    <x:cfRule type="containsText" dxfId="13" priority="1" operator="containsText" text="已完成"/>
    <x:cfRule type="containsText" dxfId="14" priority="2" operator="containsText" text="已通过"/>
    <x:cfRule type="containsText" dxfId="15" priority="3" operator="containsText" text="进行中"/>
    <x:cfRule type="containsText" dxfId="16" priority="4" operator="containsText" text="待审核"/>
    <x:cfRule type="containsText" dxfId="17" priority="5" operator="containsText" text="阻塞"/>
  </x:conditionalFormatting>
  <x:conditionalFormatting sqref="L5:L29">
    <x:cfRule type="containsText" dxfId="18" priority="6" operator="containsText" text="P0"/>
    <x:cfRule type="containsText" dxfId="19" priority="7" operator="containsText" text="P1"/>
    <x:cfRule type="containsText" dxfId="20" priority="8" operator="containsText" text="P2"/>
  </x:conditionalFormatting>
  <x:dataValidations count="2">
    <x:dataValidation type="list" sqref="H5:H29">
      <x:formula1>"未开始,进行中,待审核,已完成,阻塞,取消"</x:formula1>
    </x:dataValidation>
    <x:dataValidation type="list" sqref="L5:L29">
      <x:formula1>"P0,P1,P2,P3"</x:formula1>
    </x:dataValidation>
  </x:dataValidations>
  <x:pageMargins left="0.7" right="0.7" top="0.75" bottom="0.75" header="0.3" footer="0.3"/>
  <x:legacyDrawing xmlns:r="http://schemas.openxmlformats.org/officeDocument/2006/relationships" r:id="R6b6c78fa67ed41f3"/>
  <x:tableParts count="1">
    <x:tablePart xmlns:r="http://schemas.openxmlformats.org/officeDocument/2006/relationships" r:id="R297dee8b187b41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62" hidden="0" customWidth="1"/>
  </x:cols>
  <x:sheetData>
    <x:row r="1" ht="34" customHeight="1">
      <x:c r="A1" s="3" t="str">
        <x:v>十二帝人物 ID 迁移对照</x:v>
      </x:c>
    </x:row>
    <x:row r="2" ht="24" customHeight="1">
      <x:c r="A2" s="6" t="str">
        <x:v>皇帝是人物的时态称号，不是第二套人物实体；QH-E仅为展示兼容ID，权威实体统一到QH-P</x:v>
      </x:c>
    </x:row>
    <x:row r="4" ht="32" customHeight="1">
      <x:c r="A4" s="92" t="str">
        <x:v>entity_role</x:v>
      </x:c>
      <x:c r="B4" s="93" t="str">
        <x:v>person_id</x:v>
      </x:c>
      <x:c r="C4" s="93" t="str">
        <x:v>legacy_emperor_id</x:v>
      </x:c>
      <x:c r="D4" s="93" t="str">
        <x:v>canonical_name</x:v>
      </x:c>
      <x:c r="E4" s="93" t="str">
        <x:v>status</x:v>
      </x:c>
      <x:c r="F4" s="94" t="str">
        <x:v>note</x:v>
      </x:c>
    </x:row>
    <x:row r="5" ht="38" customHeight="1">
      <x:c r="A5" s="99" t="str">
        <x:v>emperor</x:v>
      </x:c>
      <x:c r="B5" s="99" t="str">
        <x:v>QH-P-000051</x:v>
      </x:c>
      <x:c r="C5" s="99" t="str">
        <x:v>QH-E-01</x:v>
      </x:c>
      <x:c r="D5" s="99" t="str">
        <x:v>爱新觉罗·努尔哈赤</x:v>
      </x:c>
      <x:c r="E5" s="99" t="str">
        <x:v>待迁移</x:v>
      </x:c>
      <x:c r="F5" s="99" t="str">
        <x:v>QH-E仅作当前展示兼容ID；权威人物ID统一为QH-P</x:v>
      </x:c>
    </x:row>
    <x:row r="6" ht="38" customHeight="1">
      <x:c r="A6" s="100" t="str">
        <x:v>emperor</x:v>
      </x:c>
      <x:c r="B6" s="100" t="str">
        <x:v>QH-P-000052</x:v>
      </x:c>
      <x:c r="C6" s="100" t="str">
        <x:v>QH-E-02</x:v>
      </x:c>
      <x:c r="D6" s="100" t="str">
        <x:v>爱新觉罗·皇太极</x:v>
      </x:c>
      <x:c r="E6" s="100" t="str">
        <x:v>待迁移</x:v>
      </x:c>
      <x:c r="F6" s="100" t="str">
        <x:v>QH-E仅作当前展示兼容ID；权威人物ID统一为QH-P</x:v>
      </x:c>
    </x:row>
    <x:row r="7" ht="38" customHeight="1">
      <x:c r="A7" s="100" t="str">
        <x:v>emperor</x:v>
      </x:c>
      <x:c r="B7" s="100" t="str">
        <x:v>QH-P-000053</x:v>
      </x:c>
      <x:c r="C7" s="100" t="str">
        <x:v>QH-E-03</x:v>
      </x:c>
      <x:c r="D7" s="100" t="str">
        <x:v>爱新觉罗·福临</x:v>
      </x:c>
      <x:c r="E7" s="100" t="str">
        <x:v>待迁移</x:v>
      </x:c>
      <x:c r="F7" s="100" t="str">
        <x:v>QH-E仅作当前展示兼容ID；权威人物ID统一为QH-P</x:v>
      </x:c>
    </x:row>
    <x:row r="8" ht="38" customHeight="1">
      <x:c r="A8" s="100" t="str">
        <x:v>emperor</x:v>
      </x:c>
      <x:c r="B8" s="100" t="str">
        <x:v>QH-P-000001</x:v>
      </x:c>
      <x:c r="C8" s="100" t="str">
        <x:v>QH-E-04</x:v>
      </x:c>
      <x:c r="D8" s="100" t="str">
        <x:v>爱新觉罗·玄烨</x:v>
      </x:c>
      <x:c r="E8" s="100" t="str">
        <x:v>已存在</x:v>
      </x:c>
      <x:c r="F8" s="100" t="str">
        <x:v>与康雍50人表同一人物；不得建立重复实体</x:v>
      </x:c>
    </x:row>
    <x:row r="9" ht="38" customHeight="1">
      <x:c r="A9" s="100" t="str">
        <x:v>emperor</x:v>
      </x:c>
      <x:c r="B9" s="100" t="str">
        <x:v>QH-P-000002</x:v>
      </x:c>
      <x:c r="C9" s="100" t="str">
        <x:v>QH-E-05</x:v>
      </x:c>
      <x:c r="D9" s="100" t="str">
        <x:v>爱新觉罗·胤禛</x:v>
      </x:c>
      <x:c r="E9" s="100" t="str">
        <x:v>已存在</x:v>
      </x:c>
      <x:c r="F9" s="100" t="str">
        <x:v>与康雍50人表同一人物；不得建立重复实体</x:v>
      </x:c>
    </x:row>
    <x:row r="10" ht="38" customHeight="1">
      <x:c r="A10" s="100" t="str">
        <x:v>emperor</x:v>
      </x:c>
      <x:c r="B10" s="100" t="str">
        <x:v>QH-P-000019</x:v>
      </x:c>
      <x:c r="C10" s="100" t="str">
        <x:v>QH-E-06</x:v>
      </x:c>
      <x:c r="D10" s="100" t="str">
        <x:v>爱新觉罗·弘历</x:v>
      </x:c>
      <x:c r="E10" s="100" t="str">
        <x:v>已存在</x:v>
      </x:c>
      <x:c r="F10" s="100" t="str">
        <x:v>与康雍50人表同一人物；不得建立重复实体</x:v>
      </x:c>
    </x:row>
    <x:row r="11" ht="38" customHeight="1">
      <x:c r="A11" s="100" t="str">
        <x:v>emperor</x:v>
      </x:c>
      <x:c r="B11" s="100" t="str">
        <x:v>QH-P-000054</x:v>
      </x:c>
      <x:c r="C11" s="100" t="str">
        <x:v>QH-E-07</x:v>
      </x:c>
      <x:c r="D11" s="100" t="str">
        <x:v>爱新觉罗·颙琰</x:v>
      </x:c>
      <x:c r="E11" s="100" t="str">
        <x:v>待迁移</x:v>
      </x:c>
      <x:c r="F11" s="100" t="str">
        <x:v>QH-E仅作当前展示兼容ID；权威人物ID统一为QH-P</x:v>
      </x:c>
    </x:row>
    <x:row r="12" ht="38" customHeight="1">
      <x:c r="A12" s="100" t="str">
        <x:v>emperor</x:v>
      </x:c>
      <x:c r="B12" s="100" t="str">
        <x:v>QH-P-000055</x:v>
      </x:c>
      <x:c r="C12" s="100" t="str">
        <x:v>QH-E-08</x:v>
      </x:c>
      <x:c r="D12" s="100" t="str">
        <x:v>爱新觉罗·旻宁</x:v>
      </x:c>
      <x:c r="E12" s="100" t="str">
        <x:v>待迁移</x:v>
      </x:c>
      <x:c r="F12" s="100" t="str">
        <x:v>QH-E仅作当前展示兼容ID；权威人物ID统一为QH-P</x:v>
      </x:c>
    </x:row>
    <x:row r="13" ht="38" customHeight="1">
      <x:c r="A13" s="100" t="str">
        <x:v>emperor</x:v>
      </x:c>
      <x:c r="B13" s="100" t="str">
        <x:v>QH-P-000056</x:v>
      </x:c>
      <x:c r="C13" s="100" t="str">
        <x:v>QH-E-09</x:v>
      </x:c>
      <x:c r="D13" s="100" t="str">
        <x:v>爱新觉罗·奕詝</x:v>
      </x:c>
      <x:c r="E13" s="100" t="str">
        <x:v>待迁移</x:v>
      </x:c>
      <x:c r="F13" s="100" t="str">
        <x:v>QH-E仅作当前展示兼容ID；权威人物ID统一为QH-P</x:v>
      </x:c>
    </x:row>
    <x:row r="14" ht="38" customHeight="1">
      <x:c r="A14" s="100" t="str">
        <x:v>emperor</x:v>
      </x:c>
      <x:c r="B14" s="100" t="str">
        <x:v>QH-P-000057</x:v>
      </x:c>
      <x:c r="C14" s="100" t="str">
        <x:v>QH-E-10</x:v>
      </x:c>
      <x:c r="D14" s="100" t="str">
        <x:v>爱新觉罗·载淳</x:v>
      </x:c>
      <x:c r="E14" s="100" t="str">
        <x:v>待迁移</x:v>
      </x:c>
      <x:c r="F14" s="100" t="str">
        <x:v>QH-E仅作当前展示兼容ID；权威人物ID统一为QH-P</x:v>
      </x:c>
    </x:row>
    <x:row r="15" ht="38" customHeight="1">
      <x:c r="A15" s="100" t="str">
        <x:v>emperor</x:v>
      </x:c>
      <x:c r="B15" s="100" t="str">
        <x:v>QH-P-000058</x:v>
      </x:c>
      <x:c r="C15" s="100" t="str">
        <x:v>QH-E-11</x:v>
      </x:c>
      <x:c r="D15" s="100" t="str">
        <x:v>爱新觉罗·载湉</x:v>
      </x:c>
      <x:c r="E15" s="100" t="str">
        <x:v>待迁移</x:v>
      </x:c>
      <x:c r="F15" s="100" t="str">
        <x:v>QH-E仅作当前展示兼容ID；权威人物ID统一为QH-P</x:v>
      </x:c>
    </x:row>
    <x:row r="16" ht="38" customHeight="1">
      <x:c r="A16" s="100" t="str">
        <x:v>emperor</x:v>
      </x:c>
      <x:c r="B16" s="100" t="str">
        <x:v>QH-P-000059</x:v>
      </x:c>
      <x:c r="C16" s="100" t="str">
        <x:v>QH-E-12</x:v>
      </x:c>
      <x:c r="D16" s="100" t="str">
        <x:v>爱新觉罗·溥仪</x:v>
      </x:c>
      <x:c r="E16" s="100" t="str">
        <x:v>待迁移</x:v>
      </x:c>
      <x:c r="F16" s="100" t="str">
        <x:v>QH-E仅作当前展示兼容ID；权威人物ID统一为QH-P</x:v>
      </x:c>
    </x:row>
  </x:sheetData>
  <x:mergeCells>
    <x:mergeCell ref="A1:F1"/>
    <x:mergeCell ref="A2:F2"/>
  </x:mergeCells>
  <x:conditionalFormatting sqref="E5:E16">
    <x:cfRule type="containsText" dxfId="21" priority="1" operator="containsText" text="已完成"/>
    <x:cfRule type="containsText" dxfId="22" priority="2" operator="containsText" text="已通过"/>
    <x:cfRule type="containsText" dxfId="23" priority="3" operator="containsText" text="进行中"/>
    <x:cfRule type="containsText" dxfId="24" priority="4" operator="containsText" text="待审核"/>
    <x:cfRule type="containsText" dxfId="25" priority="5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fe792c8c367b4e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0" hidden="0" customWidth="1"/>
    <x:col min="5" max="5" width="18" hidden="0" customWidth="1"/>
    <x:col min="6" max="6" width="34" hidden="0" customWidth="1"/>
    <x:col min="7" max="7" width="26" hidden="0" customWidth="1"/>
    <x:col min="8" max="8" width="40" hidden="0" customWidth="1"/>
    <x:col min="9" max="9" width="54" hidden="0" customWidth="1"/>
    <x:col min="10" max="10" width="60" hidden="0" customWidth="1"/>
    <x:col min="11" max="11" width="76" hidden="0" customWidth="1"/>
    <x:col min="12" max="12" width="76" hidden="0" customWidth="1"/>
    <x:col min="13" max="13" width="30" hidden="0" customWidth="1"/>
    <x:col min="14" max="14" width="44" hidden="0" customWidth="1"/>
    <x:col min="15" max="15" width="56" hidden="0" customWidth="1"/>
    <x:col min="16" max="16" width="16" hidden="0" customWidth="1"/>
    <x:col min="17" max="17" width="16" hidden="0" customWidth="1"/>
    <x:col min="18" max="18" width="48" hidden="0" customWidth="1"/>
  </x:cols>
  <x:sheetData>
    <x:row r="1" ht="34" customHeight="1">
      <x:c r="A1" s="3" t="str">
        <x:v>十二帝第一版研究卡</x:v>
      </x:c>
    </x:row>
    <x:row r="2" ht="24" customHeight="1">
      <x:c r="A2" s="6" t="str">
        <x:v>家庭、事件与争议均为索引级候选；当前统一标S二手索引/M1 AI回查，后续拆成原子主张逐条回到实录档案或玉牒</x:v>
      </x:c>
    </x:row>
    <x:row r="4" ht="32" customHeight="1">
      <x:c r="A4" s="92" t="str">
        <x:v>person_id</x:v>
      </x:c>
      <x:c r="B4" s="93" t="str">
        <x:v>legacy_emperor_id</x:v>
      </x:c>
      <x:c r="C4" s="93" t="str">
        <x:v>姓名</x:v>
      </x:c>
      <x:c r="D4" s="93" t="str">
        <x:v>庙号</x:v>
      </x:c>
      <x:c r="E4" s="93" t="str">
        <x:v>年号</x:v>
      </x:c>
      <x:c r="F4" s="93" t="str">
        <x:v>在位口径</x:v>
      </x:c>
      <x:c r="G4" s="93" t="str">
        <x:v>父亲</x:v>
      </x:c>
      <x:c r="H4" s="93" t="str">
        <x:v>生母或母系说明</x:v>
      </x:c>
      <x:c r="I4" s="93" t="str">
        <x:v>主要皇后或配偶候选</x:v>
      </x:c>
      <x:c r="J4" s="93" t="str">
        <x:v>主要子女候选</x:v>
      </x:c>
      <x:c r="K4" s="93" t="str">
        <x:v>重大事件骨架</x:v>
      </x:c>
      <x:c r="L4" s="93" t="str">
        <x:v>必须保留的争议或边界</x:v>
      </x:c>
      <x:c r="M4" s="93" t="str">
        <x:v>清史稿本纪</x:v>
      </x:c>
      <x:c r="N4" s="93" t="str">
        <x:v>实录或政纪卷数</x:v>
      </x:c>
      <x:c r="O4" s="93" t="str">
        <x:v>故宫人物页</x:v>
      </x:c>
      <x:c r="P4" s="93" t="str">
        <x:v>证据状态</x:v>
      </x:c>
      <x:c r="Q4" s="93" t="str">
        <x:v>审核层级</x:v>
      </x:c>
      <x:c r="R4" s="94" t="str">
        <x:v>说明</x:v>
      </x:c>
    </x:row>
    <x:row r="5" ht="76" customHeight="1">
      <x:c r="A5" s="99" t="str">
        <x:v>QH-P-000051</x:v>
      </x:c>
      <x:c r="B5" s="99" t="str">
        <x:v>QH-E-01</x:v>
      </x:c>
      <x:c r="C5" s="99" t="str">
        <x:v>爱新觉罗·努尔哈赤</x:v>
      </x:c>
      <x:c r="D5" s="99" t="str">
        <x:v>太祖</x:v>
      </x:c>
      <x:c r="E5" s="99" t="str">
        <x:v>天命</x:v>
      </x:c>
      <x:c r="F5" s="99" t="str">
        <x:v>后金汗1616—1626</x:v>
      </x:c>
      <x:c r="G5" s="99" t="str">
        <x:v>爱新觉罗·塔克世</x:v>
      </x:c>
      <x:c r="H5" s="99" t="str">
        <x:v>喜塔腊氏额穆齐</x:v>
      </x:c>
      <x:c r="I5" s="99" t="str">
        <x:v>孝慈高皇后叶赫那拉氏；乌拉那拉氏曾追谥孝烈武皇后后撤谥</x:v>
      </x:c>
      <x:c r="J5" s="99" t="str">
        <x:v>褚英；代善；莽古尔泰；皇太极；阿济格；多尔衮；多铎；东果格格；莽古济</x:v>
      </x:c>
      <x:c r="K5" s="99" t="str">
        <x:v>统一女真诸部；创制满文；整编八旗；建立后金；七大恨；萨尔浒；迁辽阳沈阳；宁远败退</x:v>
      </x:c>
      <x:c r="L5" s="99" t="str">
        <x:v>1616身份应记汗而非直接套后世皇帝称号；宁远炮伤与死因；乌拉那拉氏殉死情形；前三朝实录反复改写</x:v>
      </x:c>
      <x:c r="M5" s="99" t="str">
        <x:v>卷1太祖本纪</x:v>
      </x:c>
      <x:c r="N5" s="99" t="str">
        <x:v>《太祖高皇帝实录》首卷3正文10卷；另有《满洲实录》</x:v>
      </x:c>
      <x:c r="O5" s="99" t="str">
        <x:v>https://www.dpm.org.cn/court/lineage/226250.html</x:v>
      </x:c>
      <x:c r="P5" s="99" t="str">
        <x:v>S二手索引</x:v>
      </x:c>
      <x:c r="Q5" s="99" t="str">
        <x:v>M1 AI回查</x:v>
      </x:c>
      <x:c r="R5" s="99" t="str">
        <x:v>身份家庭字段为索引级；关系边仍须逐条回查玉牒实录档案</x:v>
      </x:c>
    </x:row>
    <x:row r="6" ht="76" customHeight="1">
      <x:c r="A6" s="100" t="str">
        <x:v>QH-P-000052</x:v>
      </x:c>
      <x:c r="B6" s="100" t="str">
        <x:v>QH-E-02</x:v>
      </x:c>
      <x:c r="C6" s="100" t="str">
        <x:v>爱新觉罗·皇太极</x:v>
      </x:c>
      <x:c r="D6" s="100" t="str">
        <x:v>太宗</x:v>
      </x:c>
      <x:c r="E6" s="100" t="str">
        <x:v>天聪；崇德</x:v>
      </x:c>
      <x:c r="F6" s="100" t="str">
        <x:v>后金汗及清帝1626—1643；1636改国号称帝</x:v>
      </x:c>
      <x:c r="G6" s="100" t="str">
        <x:v>爱新觉罗·努尔哈赤</x:v>
      </x:c>
      <x:c r="H6" s="100" t="str">
        <x:v>叶赫那拉氏孝慈高皇后</x:v>
      </x:c>
      <x:c r="I6" s="100" t="str">
        <x:v>孝端文皇后博尔济吉特氏；孝庄文皇后为后世追尊</x:v>
      </x:c>
      <x:c r="J6" s="100" t="str">
        <x:v>豪格；硕塞；高塞；常舒；福临；博穆博果尔；马喀塔等</x:v>
      </x:c>
      <x:c r="K6" s="100" t="str">
        <x:v>强化汗权；建六部内三院；蒙古八旗汉军八旗；改女真为满洲；1636称帝改国号；两征朝鲜；松锦之战</x:v>
      </x:c>
      <x:c r="L6" s="100" t="str">
        <x:v>1626汗位与1636帝位必须分开；继位推举或预定；皇太极词源与原始满文；猝死原因；实录删改</x:v>
      </x:c>
      <x:c r="M6" s="100" t="str">
        <x:v>卷2—3太宗本纪</x:v>
      </x:c>
      <x:c r="N6" s="100" t="str">
        <x:v>《太宗文皇帝实录》首卷3正文65卷</x:v>
      </x:c>
      <x:c r="O6" s="100" t="str">
        <x:v>https://www.dpm.org.cn/court/lineage/226251.html</x:v>
      </x:c>
      <x:c r="P6" s="100" t="str">
        <x:v>S二手索引</x:v>
      </x:c>
      <x:c r="Q6" s="100" t="str">
        <x:v>M1 AI回查</x:v>
      </x:c>
      <x:c r="R6" s="100" t="str">
        <x:v>称号和政权名称必须时态化</x:v>
      </x:c>
    </x:row>
    <x:row r="7" ht="76" customHeight="1">
      <x:c r="A7" s="100" t="str">
        <x:v>QH-P-000053</x:v>
      </x:c>
      <x:c r="B7" s="100" t="str">
        <x:v>QH-E-03</x:v>
      </x:c>
      <x:c r="C7" s="100" t="str">
        <x:v>爱新觉罗·福临</x:v>
      </x:c>
      <x:c r="D7" s="100" t="str">
        <x:v>世祖</x:v>
      </x:c>
      <x:c r="E7" s="100" t="str">
        <x:v>顺治</x:v>
      </x:c>
      <x:c r="F7" s="100" t="str">
        <x:v>1643即位；顺治纪年1644—1661</x:v>
      </x:c>
      <x:c r="G7" s="100" t="str">
        <x:v>爱新觉罗·皇太极</x:v>
      </x:c>
      <x:c r="H7" s="100" t="str">
        <x:v>博尔济吉特氏孝庄文皇后</x:v>
      </x:c>
      <x:c r="I7" s="100" t="str">
        <x:v>废后博尔济吉特氏；孝惠章皇后；孝献皇后董鄂氏与孝康章皇后佟佳氏为追尊</x:v>
      </x:c>
      <x:c r="J7" s="100" t="str">
        <x:v>牛钮；福全；玄烨；荣亲王；常宁；奇绶；隆禧；永干；恭悫长公主等</x:v>
      </x:c>
      <x:c r="K7" s="100" t="str">
        <x:v>幼帝即位；多尔衮摄政；入关迁都；追击农民军和南明；剃发圈地逃人法；亲政后追罪多尔衮</x:v>
      </x:c>
      <x:c r="L7" s="100" t="str">
        <x:v>顺治出家说不可当事实；董鄂妃身份争论；遗诏形成；最终谥号异文需以册宝神牌定本</x:v>
      </x:c>
      <x:c r="M7" s="100" t="str">
        <x:v>卷4—5世祖本纪</x:v>
      </x:c>
      <x:c r="N7" s="100" t="str">
        <x:v>《世祖章皇帝实录》首卷3正文144卷</x:v>
      </x:c>
      <x:c r="O7" s="100" t="str">
        <x:v>https://www.dpm.org.cn/court/lineage/226262.html</x:v>
      </x:c>
      <x:c r="P7" s="100" t="str">
        <x:v>S二手索引</x:v>
      </x:c>
      <x:c r="Q7" s="100" t="str">
        <x:v>M1 AI回查</x:v>
      </x:c>
      <x:c r="R7" s="100" t="str">
        <x:v>即位年份与入关后纪年分开</x:v>
      </x:c>
    </x:row>
    <x:row r="8" ht="76" customHeight="1">
      <x:c r="A8" s="100" t="str">
        <x:v>QH-P-000001</x:v>
      </x:c>
      <x:c r="B8" s="100" t="str">
        <x:v>QH-E-04</x:v>
      </x:c>
      <x:c r="C8" s="100" t="str">
        <x:v>爱新觉罗·玄烨</x:v>
      </x:c>
      <x:c r="D8" s="100" t="str">
        <x:v>圣祖</x:v>
      </x:c>
      <x:c r="E8" s="100" t="str">
        <x:v>康熙</x:v>
      </x:c>
      <x:c r="F8" s="100" t="str">
        <x:v>1661即位；康熙纪年1662—1722</x:v>
      </x:c>
      <x:c r="G8" s="100" t="str">
        <x:v>爱新觉罗·福临</x:v>
      </x:c>
      <x:c r="H8" s="100" t="str">
        <x:v>佟佳氏孝康章皇后</x:v>
      </x:c>
      <x:c r="I8" s="100" t="str">
        <x:v>孝诚仁皇后赫舍里氏；孝昭仁皇后钮祜禄氏；孝懿仁皇后佟佳氏；孝恭仁皇后乌雅氏</x:v>
      </x:c>
      <x:c r="J8" s="100" t="str">
        <x:v>胤禔；胤礽；胤祉；胤禛；胤祺；胤祐；胤禩；胤禟；胤䄉；胤祹；胤祥；胤禵；荣宪公主；恪靖公主等</x:v>
      </x:c>
      <x:c r="K8" s="100" t="str">
        <x:v>除鳌拜；平三藩；收台湾；雅克萨与尼布楚条约；三征噶尔丹；河工蠲赋；西学；两废太子</x:v>
      </x:c>
      <x:c r="L8" s="100" t="str">
        <x:v>雍正继位遗诏形成与宣读；九子夺嫡是后世概括；康乾盛世评价需并列成本；礼仪之争</x:v>
      </x:c>
      <x:c r="M8" s="100" t="str">
        <x:v>卷6—8圣祖本纪</x:v>
      </x:c>
      <x:c r="N8" s="100" t="str">
        <x:v>《圣祖仁皇帝实录》首卷3正文300卷</x:v>
      </x:c>
      <x:c r="O8" s="100" t="str">
        <x:v>https://www.dpm.org.cn/court/lineage/226256.html</x:v>
      </x:c>
      <x:c r="P8" s="100" t="str">
        <x:v>S二手索引</x:v>
      </x:c>
      <x:c r="Q8" s="100" t="str">
        <x:v>M1 AI回查</x:v>
      </x:c>
      <x:c r="R8" s="100" t="str">
        <x:v>当前深挖主卷；后续拆分150—250条原子主张</x:v>
      </x:c>
    </x:row>
    <x:row r="9" ht="76" customHeight="1">
      <x:c r="A9" s="100" t="str">
        <x:v>QH-P-000002</x:v>
      </x:c>
      <x:c r="B9" s="100" t="str">
        <x:v>QH-E-05</x:v>
      </x:c>
      <x:c r="C9" s="100" t="str">
        <x:v>爱新觉罗·胤禛</x:v>
      </x:c>
      <x:c r="D9" s="100" t="str">
        <x:v>世宗</x:v>
      </x:c>
      <x:c r="E9" s="100" t="str">
        <x:v>雍正</x:v>
      </x:c>
      <x:c r="F9" s="100" t="str">
        <x:v>1722即位；雍正纪年1723—1735</x:v>
      </x:c>
      <x:c r="G9" s="100" t="str">
        <x:v>爱新觉罗·玄烨</x:v>
      </x:c>
      <x:c r="H9" s="100" t="str">
        <x:v>乌雅氏孝恭仁皇后；孝懿仁皇后佟佳氏为重要抚养者不能等同生母</x:v>
      </x:c>
      <x:c r="I9" s="100" t="str">
        <x:v>孝敬宪皇后乌拉那拉氏；孝圣宪皇后钮祜禄氏为追尊</x:v>
      </x:c>
      <x:c r="J9" s="100" t="str">
        <x:v>弘晖；弘时；弘历；弘昼；福惠；怀恪公主</x:v>
      </x:c>
      <x:c r="K9" s="100" t="str">
        <x:v>宗室重组；秘密建储；摊丁入亩；耗羡归公养廉银；改土归流；青海西藏治理；军机机构；整肃年羹尧隆科多诸弟</x:v>
      </x:c>
      <x:c r="L9" s="100" t="str">
        <x:v>即位合法性须分遗诏临终传谕与后世改诏说；军机处成立口径；死亡与丹药；严刑和文字案</x:v>
      </x:c>
      <x:c r="M9" s="100" t="str">
        <x:v>卷9世宗本纪</x:v>
      </x:c>
      <x:c r="N9" s="100" t="str">
        <x:v>《世宗宪皇帝实录》首卷3正文159卷</x:v>
      </x:c>
      <x:c r="O9" s="100" t="str">
        <x:v>https://www.dpm.org.cn/court/lineage/226259.html</x:v>
      </x:c>
      <x:c r="P9" s="100" t="str">
        <x:v>S二手索引</x:v>
      </x:c>
      <x:c r="Q9" s="100" t="str">
        <x:v>M1 AI回查</x:v>
      </x:c>
      <x:c r="R9" s="100" t="str">
        <x:v>与康熙卷共享人物和继承事件</x:v>
      </x:c>
    </x:row>
    <x:row r="10" ht="76" customHeight="1">
      <x:c r="A10" s="100" t="str">
        <x:v>QH-P-000019</x:v>
      </x:c>
      <x:c r="B10" s="100" t="str">
        <x:v>QH-E-06</x:v>
      </x:c>
      <x:c r="C10" s="100" t="str">
        <x:v>爱新觉罗·弘历</x:v>
      </x:c>
      <x:c r="D10" s="100" t="str">
        <x:v>高宗</x:v>
      </x:c>
      <x:c r="E10" s="100" t="str">
        <x:v>乾隆</x:v>
      </x:c>
      <x:c r="F10" s="100" t="str">
        <x:v>1735即位；乾隆纪年1736—1795；1796禅位后掌权至1799</x:v>
      </x:c>
      <x:c r="G10" s="100" t="str">
        <x:v>爱新觉罗·胤禛</x:v>
      </x:c>
      <x:c r="H10" s="100" t="str">
        <x:v>钮祜禄氏孝圣宪皇后</x:v>
      </x:c>
      <x:c r="I10" s="100" t="str">
        <x:v>孝贤纯皇后富察氏；继皇后那拉氏无谥且丧仪降格；孝仪纯皇后魏佳氏为追尊</x:v>
      </x:c>
      <x:c r="J10" s="100" t="str">
        <x:v>永璜；永琏；永璋；永珹；永琪；永瑢；永璇；永瑆；永琰；永璘；和敬公主；和孝公主等</x:v>
      </x:c>
      <x:c r="K10" s="100" t="str">
        <x:v>平准噶尔及天山南路；大小金川等战争；新疆治理；四库全书；文字狱禁毁书；南巡；马戛尔尼使团；禅位</x:v>
      </x:c>
      <x:c r="L10" s="100" t="str">
        <x:v>出生地争议；十全武功评价；准噶尔人口灾难；禁毁书数量；禅位后实际权力</x:v>
      </x:c>
      <x:c r="M10" s="100" t="str">
        <x:v>卷10—15高宗本纪</x:v>
      </x:c>
      <x:c r="N10" s="100" t="str">
        <x:v>《高宗纯皇帝实录》首卷5正文1500卷</x:v>
      </x:c>
      <x:c r="O10" s="100" t="str">
        <x:v>https://www.dpm.org.cn/court/lineage/226263.html</x:v>
      </x:c>
      <x:c r="P10" s="100" t="str">
        <x:v>S二手索引</x:v>
      </x:c>
      <x:c r="Q10" s="100" t="str">
        <x:v>M1 AI回查</x:v>
      </x:c>
      <x:c r="R10" s="100" t="str">
        <x:v>在位与实际执政必须拆分</x:v>
      </x:c>
    </x:row>
    <x:row r="11" ht="76" customHeight="1">
      <x:c r="A11" s="100" t="str">
        <x:v>QH-P-000054</x:v>
      </x:c>
      <x:c r="B11" s="100" t="str">
        <x:v>QH-E-07</x:v>
      </x:c>
      <x:c r="C11" s="100" t="str">
        <x:v>爱新觉罗·颙琰</x:v>
      </x:c>
      <x:c r="D11" s="100" t="str">
        <x:v>仁宗</x:v>
      </x:c>
      <x:c r="E11" s="100" t="str">
        <x:v>嘉庆</x:v>
      </x:c>
      <x:c r="F11" s="100" t="str">
        <x:v>1796—1820；1796—1799受太上皇训政制约</x:v>
      </x:c>
      <x:c r="G11" s="100" t="str">
        <x:v>爱新觉罗·弘历</x:v>
      </x:c>
      <x:c r="H11" s="100" t="str">
        <x:v>魏佳氏孝仪纯皇后</x:v>
      </x:c>
      <x:c r="I11" s="100" t="str">
        <x:v>孝淑睿皇后喜塔腊氏；孝和睿皇后钮祜禄氏</x:v>
      </x:c>
      <x:c r="J11" s="100" t="str">
        <x:v>穆郡王；旻宁；绵恺；绵忻；绵愉；庄敬公主；庄静公主；慧安公主等</x:v>
      </x:c>
      <x:c r="K11" s="100" t="str">
        <x:v>接受内禅；乾隆死后诛和珅；整顿吏治；白莲教；海盗问题；陈德行刺；天理教攻宫；阿美士德使团</x:v>
      </x:c>
      <x:c r="L11" s="100" t="str">
        <x:v>1796—1799名义在位与实际权力；永琰改颙琰；猝死病因；反腐叙事需拆制度和个案</x:v>
      </x:c>
      <x:c r="M11" s="100" t="str">
        <x:v>卷16仁宗本纪</x:v>
      </x:c>
      <x:c r="N11" s="100" t="str">
        <x:v>《仁宗睿皇帝实录》首卷4正文374卷</x:v>
      </x:c>
      <x:c r="O11" s="100" t="str">
        <x:v>https://www.dpm.org.cn/court/lineage/226238.html</x:v>
      </x:c>
      <x:c r="P11" s="100" t="str">
        <x:v>S二手索引</x:v>
      </x:c>
      <x:c r="Q11" s="100" t="str">
        <x:v>M1 AI回查</x:v>
      </x:c>
      <x:c r="R11" s="100" t="str">
        <x:v>太上皇训政为独立权力状态</x:v>
      </x:c>
    </x:row>
    <x:row r="12" ht="76" customHeight="1">
      <x:c r="A12" s="100" t="str">
        <x:v>QH-P-000055</x:v>
      </x:c>
      <x:c r="B12" s="100" t="str">
        <x:v>QH-E-08</x:v>
      </x:c>
      <x:c r="C12" s="100" t="str">
        <x:v>爱新觉罗·旻宁</x:v>
      </x:c>
      <x:c r="D12" s="100" t="str">
        <x:v>宣宗</x:v>
      </x:c>
      <x:c r="E12" s="100" t="str">
        <x:v>道光</x:v>
      </x:c>
      <x:c r="F12" s="100" t="str">
        <x:v>1820即位；道光纪年1821—1850</x:v>
      </x:c>
      <x:c r="G12" s="100" t="str">
        <x:v>爱新觉罗·颙琰</x:v>
      </x:c>
      <x:c r="H12" s="100" t="str">
        <x:v>喜塔腊氏孝淑睿皇后</x:v>
      </x:c>
      <x:c r="I12" s="100" t="str">
        <x:v>孝穆成皇后；孝慎成皇后；孝全成皇后；孝静成皇后</x:v>
      </x:c>
      <x:c r="J12" s="100" t="str">
        <x:v>奕纬；奕纲；奕继；奕詝；奕誴；奕訢；奕譞；奕詥；奕譓；寿安公主；寿恩公主等</x:v>
      </x:c>
      <x:c r="K12" s="100" t="str">
        <x:v>漕运盐政财政；禁烟与林则徐；第一次鸦片战争；南京条约及后续条约；内乱渐增；秘密立储</x:v>
      </x:c>
      <x:c r="L12" s="100" t="str">
        <x:v>绵宁改旻宁避讳机制；禁烟到开战政策摇摆；节俭故事须核档；继承竞争故事后世加工；孝静成皇后追尊过程</x:v>
      </x:c>
      <x:c r="M12" s="100" t="str">
        <x:v>卷17—19宣宗本纪</x:v>
      </x:c>
      <x:c r="N12" s="100" t="str">
        <x:v>《宣宗成皇帝实录》首卷5正文476卷</x:v>
      </x:c>
      <x:c r="O12" s="100" t="str">
        <x:v>https://www.dpm.org.cn/court/lineage/226239.html</x:v>
      </x:c>
      <x:c r="P12" s="100" t="str">
        <x:v>S二手索引</x:v>
      </x:c>
      <x:c r="Q12" s="100" t="str">
        <x:v>M1 AI回查</x:v>
      </x:c>
      <x:c r="R12" s="100" t="str">
        <x:v>名称变化必须带有效时间</x:v>
      </x:c>
    </x:row>
    <x:row r="13" ht="76" customHeight="1">
      <x:c r="A13" s="100" t="str">
        <x:v>QH-P-000056</x:v>
      </x:c>
      <x:c r="B13" s="100" t="str">
        <x:v>QH-E-09</x:v>
      </x:c>
      <x:c r="C13" s="100" t="str">
        <x:v>爱新觉罗·奕詝</x:v>
      </x:c>
      <x:c r="D13" s="100" t="str">
        <x:v>文宗</x:v>
      </x:c>
      <x:c r="E13" s="100" t="str">
        <x:v>咸丰</x:v>
      </x:c>
      <x:c r="F13" s="100" t="str">
        <x:v>1850即位；咸丰纪年1851—1861</x:v>
      </x:c>
      <x:c r="G13" s="100" t="str">
        <x:v>爱新觉罗·旻宁</x:v>
      </x:c>
      <x:c r="H13" s="100" t="str">
        <x:v>钮祜禄氏孝全成皇后</x:v>
      </x:c>
      <x:c r="I13" s="100" t="str">
        <x:v>孝德显皇后萨克达氏；孝贞显皇后钮祜禄氏；孝钦显皇后叶赫那拉氏</x:v>
      </x:c>
      <x:c r="J13" s="100" t="str">
        <x:v>载淳；悯郡王；荣安固伦公主</x:v>
      </x:c>
      <x:c r="K13" s="100" t="str">
        <x:v>太平天国与捻军；启用曾国藩及地方军；第二次鸦片战争；天津北京条约；圆明园被焚掠；避热河；赞襄政务王大臣</x:v>
      </x:c>
      <x:c r="L13" s="100" t="str">
        <x:v>北狩与逃离北京的叙述立场；对外失败责任；两宫印章与八大臣权力设计；不能以后来权势倒推慈禧咸丰朝影响</x:v>
      </x:c>
      <x:c r="M13" s="100" t="str">
        <x:v>卷20文宗本纪</x:v>
      </x:c>
      <x:c r="N13" s="100" t="str">
        <x:v>《文宗显皇帝实录》首卷4正文356卷</x:v>
      </x:c>
      <x:c r="O13" s="100" t="str">
        <x:v>https://www.dpm.org.cn/court/lineage/226247.html</x:v>
      </x:c>
      <x:c r="P13" s="100" t="str">
        <x:v>S二手索引</x:v>
      </x:c>
      <x:c r="Q13" s="100" t="str">
        <x:v>M1 AI回查</x:v>
      </x:c>
      <x:c r="R13" s="100" t="str">
        <x:v>重大事件需区分皇帝决策与制度责任</x:v>
      </x:c>
    </x:row>
    <x:row r="14" ht="76" customHeight="1">
      <x:c r="A14" s="100" t="str">
        <x:v>QH-P-000057</x:v>
      </x:c>
      <x:c r="B14" s="100" t="str">
        <x:v>QH-E-10</x:v>
      </x:c>
      <x:c r="C14" s="100" t="str">
        <x:v>爱新觉罗·载淳</x:v>
      </x:c>
      <x:c r="D14" s="100" t="str">
        <x:v>穆宗</x:v>
      </x:c>
      <x:c r="E14" s="100" t="str">
        <x:v>同治；祺祥仅拟用后改</x:v>
      </x:c>
      <x:c r="F14" s="100" t="str">
        <x:v>1861即位；同治纪年1862—1874；阳历卒于1875</x:v>
      </x:c>
      <x:c r="G14" s="100" t="str">
        <x:v>爱新觉罗·奕詝</x:v>
      </x:c>
      <x:c r="H14" s="100" t="str">
        <x:v>叶赫那拉氏孝钦显皇后</x:v>
      </x:c>
      <x:c r="I14" s="100" t="str">
        <x:v>孝哲毅皇后阿鲁特氏</x:v>
      </x:c>
      <x:c r="J14" s="100" t="str">
        <x:v>无子女</x:v>
      </x:c>
      <x:c r="K14" s="100" t="str">
        <x:v>辛酉政变；两宫垂帘；镇压太平军捻军及西北起事；洋务运动；所谓同治中兴；天津教案；1873亲政</x:v>
      </x:c>
      <x:c r="L14" s="100" t="str">
        <x:v>公历死年与传统纪年；官方死因天花而梅毒说多属晚出；真实决策空间；同治中兴价值判断；阿鲁特氏死因</x:v>
      </x:c>
      <x:c r="M14" s="100" t="str">
        <x:v>卷21—22穆宗本纪</x:v>
      </x:c>
      <x:c r="N14" s="100" t="str">
        <x:v>《穆宗毅皇帝实录》首卷4正文374卷</x:v>
      </x:c>
      <x:c r="O14" s="100" t="str">
        <x:v>https://www.dpm.org.cn/court/lineage/226248.html</x:v>
      </x:c>
      <x:c r="P14" s="100" t="str">
        <x:v>S二手索引</x:v>
      </x:c>
      <x:c r="Q14" s="100" t="str">
        <x:v>M1 AI回查</x:v>
      </x:c>
      <x:c r="R14" s="100" t="str">
        <x:v>祺祥是拟用年号不能并列为实际纪年</x:v>
      </x:c>
    </x:row>
    <x:row r="15" ht="76" customHeight="1">
      <x:c r="A15" s="100" t="str">
        <x:v>QH-P-000058</x:v>
      </x:c>
      <x:c r="B15" s="100" t="str">
        <x:v>QH-E-11</x:v>
      </x:c>
      <x:c r="C15" s="100" t="str">
        <x:v>爱新觉罗·载湉</x:v>
      </x:c>
      <x:c r="D15" s="100" t="str">
        <x:v>德宗</x:v>
      </x:c>
      <x:c r="E15" s="100" t="str">
        <x:v>光绪</x:v>
      </x:c>
      <x:c r="F15" s="100" t="str">
        <x:v>1874年底安排帝位；正式在位1875—1908</x:v>
      </x:c>
      <x:c r="G15" s="100" t="str">
        <x:v>醇贤亲王爱新觉罗·奕譞</x:v>
      </x:c>
      <x:c r="H15" s="100" t="str">
        <x:v>生母叶赫那拉氏；礼法上继文宗为子</x:v>
      </x:c>
      <x:c r="I15" s="100" t="str">
        <x:v>孝定景皇后叶赫那拉氏即隆裕太后</x:v>
      </x:c>
      <x:c r="J15" s="100" t="str">
        <x:v>无子女</x:v>
      </x:c>
      <x:c r="K15" s="100" t="str">
        <x:v>两宫垂帘与亲政；中法战争；新疆建省；甲午战争；戊戌变法政变；义和团八国联军辛丑条约；清末新政</x:v>
      </x:c>
      <x:c r="L15" s="100" t="str">
        <x:v>生辰异文须以玉牒核；现代检测支持急性砷中毒但下毒者未知；甲午主战和戊戌决策能动性；帝党后党不可直接实体化</x:v>
      </x:c>
      <x:c r="M15" s="100" t="str">
        <x:v>卷23—24德宗本纪</x:v>
      </x:c>
      <x:c r="N15" s="100" t="str">
        <x:v>《德宗景皇帝实录》首卷4正文597卷</x:v>
      </x:c>
      <x:c r="O15" s="100" t="str">
        <x:v>https://www.dpm.org.cn/court/lineage/226254.html</x:v>
      </x:c>
      <x:c r="P15" s="100" t="str">
        <x:v>S二手索引</x:v>
      </x:c>
      <x:c r="Q15" s="100" t="str">
        <x:v>M1 AI回查</x:v>
      </x:c>
      <x:c r="R15" s="100" t="str">
        <x:v>必须分生父母与礼法父母</x:v>
      </x:c>
    </x:row>
    <x:row r="16" ht="76" customHeight="1">
      <x:c r="A16" s="100" t="str">
        <x:v>QH-P-000059</x:v>
      </x:c>
      <x:c r="B16" s="100" t="str">
        <x:v>QH-E-12</x:v>
      </x:c>
      <x:c r="C16" s="100" t="str">
        <x:v>爱新觉罗·溥仪</x:v>
      </x:c>
      <x:c r="D16" s="100" t="str"/>
      <x:c r="E16" s="100" t="str">
        <x:v>宣统</x:v>
      </x:c>
      <x:c r="F16" s="100" t="str">
        <x:v>1908即位；宣统纪年1909—1911；1912-02-12退位</x:v>
      </x:c>
      <x:c r="G16" s="100" t="str">
        <x:v>醇亲王爱新觉罗·载沣</x:v>
      </x:c>
      <x:c r="H16" s="100" t="str">
        <x:v>苏完瓜尔佳氏；礼法上承继穆宗并兼承德宗之祧</x:v>
      </x:c>
      <x:c r="I16" s="100" t="str">
        <x:v>郭布罗·婉容于1922年退位后按小朝廷旧制成婚</x:v>
      </x:c>
      <x:c r="J16" s="100" t="str">
        <x:v>无子女</x:v>
      </x:c>
      <x:c r="K16" s="100" t="str">
        <x:v>载沣摄政；罢袁世凯；预备立宪；皇族内阁；铁路国有和保路；武昌起义；摄政王退位；清帝退位；后清帝生涯另卷处理</x:v>
      </x:c>
      <x:c r="L16" s="100" t="str">
        <x:v>在位起点1908年号起点1909王朝终点1911退位日1912四种口径；无清朝正式庙号谥号；1917复辟和伪满帝位不是清朝连续在位；幼帝行为不能归于本人</x:v>
      </x:c>
      <x:c r="M16" s="100" t="str">
        <x:v>卷25宣统皇帝本纪</x:v>
      </x:c>
      <x:c r="N16" s="100" t="str">
        <x:v>《宣统政纪》首卷1正文70卷；不是宣统帝实录</x:v>
      </x:c>
      <x:c r="O16" s="100" t="str">
        <x:v>https://www.dpm.org.cn/court/lineage/226255.html</x:v>
      </x:c>
      <x:c r="P16" s="100" t="str">
        <x:v>S二手索引</x:v>
      </x:c>
      <x:c r="Q16" s="100" t="str">
        <x:v>M1 AI回查</x:v>
      </x:c>
      <x:c r="R16" s="100" t="str">
        <x:v>婚姻发生在退位后不得反写成清朝在位期册立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165a415fd9b4b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12" hidden="0" customWidth="1"/>
    <x:col min="5" max="5" width="28" hidden="0" customWidth="1"/>
    <x:col min="6" max="6" width="14" hidden="0" customWidth="1"/>
    <x:col min="7" max="7" width="12" hidden="0" customWidth="1"/>
    <x:col min="8" max="8" width="72" hidden="0" customWidth="1"/>
    <x:col min="9" max="9" width="64" hidden="0" customWidth="1"/>
    <x:col min="10" max="10" width="12" hidden="0" customWidth="1"/>
    <x:col min="11" max="11" width="52" hidden="0" customWidth="1"/>
    <x:col min="12" max="12" width="14" hidden="0" customWidth="1"/>
    <x:col min="13" max="13" width="56" hidden="0" customWidth="1"/>
  </x:cols>
  <x:sheetData>
    <x:row r="1" ht="34" customHeight="1">
      <x:c r="A1" s="3" t="str">
        <x:v>康熙首批来源单元</x:v>
      </x:c>
    </x:row>
    <x:row r="2" ht="24" customHeight="1">
      <x:c r="A2" s="6" t="str">
        <x:v>两个可直接打开并精确到卷、年月日和当日条次的《圣祖实录》记录；数字平台、底本和使用边界分开登记</x:v>
      </x:c>
    </x:row>
    <x:row r="4" ht="32" customHeight="1">
      <x:c r="A4" s="92" t="str">
        <x:v>source_unit_id</x:v>
      </x:c>
      <x:c r="B4" s="93" t="str">
        <x:v>source_entity_id</x:v>
      </x:c>
      <x:c r="C4" s="93" t="str">
        <x:v>史料名</x:v>
      </x:c>
      <x:c r="D4" s="93" t="str">
        <x:v>卷次</x:v>
      </x:c>
      <x:c r="E4" s="93" t="str">
        <x:v>原纪年</x:v>
      </x:c>
      <x:c r="F4" s="93" t="str">
        <x:v>网页公历标示</x:v>
      </x:c>
      <x:c r="G4" s="93" t="str">
        <x:v>当日条次</x:v>
      </x:c>
      <x:c r="H4" s="93" t="str">
        <x:v>直接记录网址</x:v>
      </x:c>
      <x:c r="I4" s="93" t="str">
        <x:v>数字底本说明</x:v>
      </x:c>
      <x:c r="J4" s="93" t="str">
        <x:v>证据等级</x:v>
      </x:c>
      <x:c r="K4" s="93" t="str">
        <x:v>权利策略</x:v>
      </x:c>
      <x:c r="L4" s="93" t="str">
        <x:v>核查日期</x:v>
      </x:c>
      <x:c r="M4" s="94" t="str">
        <x:v>说明</x:v>
      </x:c>
    </x:row>
    <x:row r="5" ht="68" customHeight="1">
      <x:c r="A5" s="99" t="str">
        <x:v>QH-SU-KX-0001</x:v>
      </x:c>
      <x:c r="B5" s="99" t="str">
        <x:v>SRC-027</x:v>
      </x:c>
      <x:c r="C5" s="99" t="str">
        <x:v>圣祖仁皇帝实录</x:v>
      </x:c>
      <x:c r="D5" s="99" t="str">
        <x:v>卷1</x:v>
      </x:c>
      <x:c r="E5" s="99" t="str">
        <x:v>顺治十八年正月初九日</x:v>
      </x:c>
      <x:c r="F5" s="99" t="str">
        <x:v>1661</x:v>
      </x:c>
      <x:c r="G5" s="99" t="str">
        <x:v>1/3</x:v>
      </x:c>
      <x:c r="H5" s="99" t="str">
        <x:v>https://sillok.history.go.kr/mc/id/qsilok_005_0010_0010_0010_0030_0010</x:v>
      </x:c>
      <x:c r="I5" s="99" t="str">
        <x:v>卷1属于中国第一历史档案馆藏原皇史宬大红绫本所据范围</x:v>
      </x:c>
      <x:c r="J5" s="99" t="str">
        <x:v>A2</x:v>
      </x:c>
      <x:c r="K5" s="99" t="str">
        <x:v>只保存必要短引文定位与链接不镜像整库</x:v>
      </x:c>
      <x:c r="L5" s="99" t="str">
        <x:v>2026-08-12</x:v>
      </x:c>
      <x:c r="M5" s="99" t="str">
        <x:v>即位礼与宣布次年为康熙元年的同日记录</x:v>
      </x:c>
    </x:row>
    <x:row r="6" ht="68" customHeight="1">
      <x:c r="A6" s="100" t="str">
        <x:v>QH-SU-KX-0300</x:v>
      </x:c>
      <x:c r="B6" s="100" t="str">
        <x:v>SRC-027</x:v>
      </x:c>
      <x:c r="C6" s="100" t="str">
        <x:v>圣祖仁皇帝实录</x:v>
      </x:c>
      <x:c r="D6" s="100" t="str">
        <x:v>卷300</x:v>
      </x:c>
      <x:c r="E6" s="100" t="str">
        <x:v>康熙六十一年十一月十三日</x:v>
      </x:c>
      <x:c r="F6" s="100" t="str">
        <x:v>1722</x:v>
      </x:c>
      <x:c r="G6" s="100" t="str">
        <x:v>2/2</x:v>
      </x:c>
      <x:c r="H6" s="100" t="str">
        <x:v>https://sillok.history.go.kr/mc/id/qsilok_005_3000_0010_0010_0110_0020</x:v>
      </x:c>
      <x:c r="I6" s="100" t="str">
        <x:v>卷300属于故宫博物院图书馆藏原乾清宫小红绫本所据范围</x:v>
      </x:c>
      <x:c r="J6" s="100" t="str">
        <x:v>A2</x:v>
      </x:c>
      <x:c r="K6" s="100" t="str">
        <x:v>只保存必要短引文定位与链接不镜像整库</x:v>
      </x:c>
      <x:c r="L6" s="100" t="str">
        <x:v>2026-08-12</x:v>
      </x:c>
      <x:c r="M6" s="100" t="str">
        <x:v>遗诏文本；文本存在不等于遗诏形成与传达争议已解决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823999b6bd94f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34" hidden="0" customWidth="1"/>
    <x:col min="5" max="5" width="36" hidden="0" customWidth="1"/>
    <x:col min="6" max="6" width="10" hidden="0" customWidth="1"/>
    <x:col min="7" max="7" width="12" hidden="0" customWidth="1"/>
    <x:col min="8" max="8" width="14" hidden="0" customWidth="1"/>
    <x:col min="9" max="9" width="13" hidden="0" customWidth="1"/>
    <x:col min="10" max="10" width="13" hidden="0" customWidth="1"/>
    <x:col min="11" max="11" width="32" hidden="0" customWidth="1"/>
  </x:cols>
  <x:sheetData>
    <x:row r="1" ht="34" customHeight="1">
      <x:c r="A1" s="3" t="str">
        <x:v>零预算六批次计划</x:v>
      </x:c>
    </x:row>
    <x:row r="2" ht="24" customHeight="1">
      <x:c r="A2" s="6" t="str">
        <x:v>批次不与自然周绑定；质量门不过就先修复，状态、责任人与日期均可继续更新</x:v>
      </x:c>
    </x:row>
    <x:row r="4" ht="32" customHeight="1">
      <x:c r="A4" s="92" t="str">
        <x:v>任务 ID</x:v>
      </x:c>
      <x:c r="B4" s="93" t="str">
        <x:v>批次</x:v>
      </x:c>
      <x:c r="C4" s="93" t="str">
        <x:v>工作流</x:v>
      </x:c>
      <x:c r="D4" s="93" t="str">
        <x:v>任务</x:v>
      </x:c>
      <x:c r="E4" s="93" t="str">
        <x:v>完成定义</x:v>
      </x:c>
      <x:c r="F4" s="93" t="str">
        <x:v>优先级</x:v>
      </x:c>
      <x:c r="G4" s="93" t="str">
        <x:v>状态</x:v>
      </x:c>
      <x:c r="H4" s="93" t="str">
        <x:v>责任人</x:v>
      </x:c>
      <x:c r="I4" s="93" t="str">
        <x:v>开始日期</x:v>
      </x:c>
      <x:c r="J4" s="93" t="str">
        <x:v>截止日期</x:v>
      </x:c>
      <x:c r="K4" s="94" t="str">
        <x:v>备注</x:v>
      </x:c>
    </x:row>
    <x:row r="5" ht="34" customHeight="1">
      <x:c r="A5" s="99" t="str">
        <x:v>B1-01</x:v>
      </x:c>
      <x:c r="B5" s="101" t="n">
        <x:v>1</x:v>
      </x:c>
      <x:c r="C5" s="99" t="str">
        <x:v>十二帝</x:v>
      </x:c>
      <x:c r="D5" s="99" t="str">
        <x:v>建立十二帝统一骨架</x:v>
      </x:c>
      <x:c r="E5" s="99" t="str">
        <x:v>12 条、继承链连续、均有官方人物页</x:v>
      </x:c>
      <x:c r="F5" s="99" t="str">
        <x:v>P0</x:v>
      </x:c>
      <x:c r="G5" s="99" t="str">
        <x:v>已完成</x:v>
      </x:c>
      <x:c r="H5" s="103" t="str">
        <x:v>AI</x:v>
      </x:c>
      <x:c r="I5" s="105" t="str"/>
      <x:c r="J5" s="105" t="str"/>
      <x:c r="K5" s="99" t="str">
        <x:v>基础年份仍需逐帝细化到日期</x:v>
      </x:c>
    </x:row>
    <x:row r="6" ht="34" customHeight="1">
      <x:c r="A6" s="100" t="str">
        <x:v>B1-02</x:v>
      </x:c>
      <x:c r="B6" s="102" t="n">
        <x:v>1</x:v>
      </x:c>
      <x:c r="C6" s="100" t="str">
        <x:v>史料</x:v>
      </x:c>
      <x:c r="D6" s="100" t="str">
        <x:v>校正《清史稿》本纪卷次</x:v>
      </x:c>
      <x:c r="E6" s="100" t="str">
        <x:v>卷1—25与实际目录一致</x:v>
      </x:c>
      <x:c r="F6" s="100" t="str">
        <x:v>P0</x:v>
      </x:c>
      <x:c r="G6" s="100" t="str">
        <x:v>已完成</x:v>
      </x:c>
      <x:c r="H6" s="104" t="str">
        <x:v>AI</x:v>
      </x:c>
      <x:c r="I6" s="106" t="str"/>
      <x:c r="J6" s="106" t="str"/>
      <x:c r="K6" s="100" t="str">
        <x:v>已修正康熙、嘉庆至同治错位</x:v>
      </x:c>
    </x:row>
    <x:row r="7" ht="34" customHeight="1">
      <x:c r="A7" s="100" t="str">
        <x:v>B1-03</x:v>
      </x:c>
      <x:c r="B7" s="102" t="n">
        <x:v>1</x:v>
      </x:c>
      <x:c r="C7" s="100" t="str">
        <x:v>图像</x:v>
      </x:c>
      <x:c r="D7" s="100" t="str">
        <x:v>登记十二帝公版画像候选</x:v>
      </x:c>
      <x:c r="E7" s="100" t="str">
        <x:v>每帝一件且有逐文件许可页</x:v>
      </x:c>
      <x:c r="F7" s="100" t="str">
        <x:v>P0</x:v>
      </x:c>
      <x:c r="G7" s="100" t="str">
        <x:v>已完成</x:v>
      </x:c>
      <x:c r="H7" s="104" t="str">
        <x:v>AI</x:v>
      </x:c>
      <x:c r="I7" s="106" t="str"/>
      <x:c r="J7" s="106" t="str"/>
      <x:c r="K7" s="100" t="str">
        <x:v>原作馆藏号继续补核</x:v>
      </x:c>
    </x:row>
    <x:row r="8" ht="34" customHeight="1">
      <x:c r="A8" s="100" t="str">
        <x:v>B2-01</x:v>
      </x:c>
      <x:c r="B8" s="102" t="n">
        <x:v>2</x:v>
      </x:c>
      <x:c r="C8" s="100" t="str">
        <x:v>后妃</x:v>
      </x:c>
      <x:c r="D8" s="100" t="str">
        <x:v>建立十二帝皇后候选表</x:v>
      </x:c>
      <x:c r="E8" s="100" t="str">
        <x:v>区分在世册立、追尊、废黜和撤谥</x:v>
      </x:c>
      <x:c r="F8" s="100" t="str">
        <x:v>P0</x:v>
      </x:c>
      <x:c r="G8" s="100" t="str">
        <x:v>未开始</x:v>
      </x:c>
      <x:c r="H8" s="104" t="str">
        <x:v>AI</x:v>
      </x:c>
      <x:c r="I8" s="106" t="str"/>
      <x:c r="J8" s="106" t="str"/>
      <x:c r="K8" s="100" t="str">
        <x:v>先从《清史稿》卷214建候选</x:v>
      </x:c>
    </x:row>
    <x:row r="9" ht="34" customHeight="1">
      <x:c r="A9" s="100" t="str">
        <x:v>B2-02</x:v>
      </x:c>
      <x:c r="B9" s="102" t="n">
        <x:v>2</x:v>
      </x:c>
      <x:c r="C9" s="100" t="str">
        <x:v>皇子女</x:v>
      </x:c>
      <x:c r="D9" s="100" t="str">
        <x:v>建立皇子、公主候选表</x:v>
      </x:c>
      <x:c r="E9" s="100" t="str">
        <x:v>齿序口径、母系和封号时态分开</x:v>
      </x:c>
      <x:c r="F9" s="100" t="str">
        <x:v>P0</x:v>
      </x:c>
      <x:c r="G9" s="100" t="str">
        <x:v>未开始</x:v>
      </x:c>
      <x:c r="H9" s="104" t="str">
        <x:v>AI</x:v>
      </x:c>
      <x:c r="I9" s="106" t="str"/>
      <x:c r="J9" s="106" t="str"/>
      <x:c r="K9" s="100" t="str">
        <x:v>从卷161—166开始但不可终审</x:v>
      </x:c>
    </x:row>
    <x:row r="10" ht="34" customHeight="1">
      <x:c r="A10" s="100" t="str">
        <x:v>B2-03</x:v>
      </x:c>
      <x:c r="B10" s="102" t="n">
        <x:v>2</x:v>
      </x:c>
      <x:c r="C10" s="100" t="str">
        <x:v>玉牒</x:v>
      </x:c>
      <x:c r="D10" s="100" t="str">
        <x:v>建立公开玉牒版本与目录</x:v>
      </x:c>
      <x:c r="E10" s="100" t="str">
        <x:v>看不到原件的关系一律标玉牒待核</x:v>
      </x:c>
      <x:c r="F10" s="100" t="str">
        <x:v>P0</x:v>
      </x:c>
      <x:c r="G10" s="100" t="str">
        <x:v>未开始</x:v>
      </x:c>
      <x:c r="H10" s="104" t="str">
        <x:v>AI</x:v>
      </x:c>
      <x:c r="I10" s="106" t="str"/>
      <x:c r="J10" s="106" t="str"/>
      <x:c r="K10" s="100" t="str">
        <x:v>只做版本级目录不编造全谱</x:v>
      </x:c>
    </x:row>
    <x:row r="11" ht="34" customHeight="1">
      <x:c r="A11" s="100" t="str">
        <x:v>B3-01</x:v>
      </x:c>
      <x:c r="B11" s="102" t="n">
        <x:v>3</x:v>
      </x:c>
      <x:c r="C11" s="100" t="str">
        <x:v>康熙</x:v>
      </x:c>
      <x:c r="D11" s="100" t="str">
        <x:v>完成康熙来源包</x:v>
      </x:c>
      <x:c r="E11" s="100" t="str">
        <x:v>史料入口、版本、访问和权利字段齐全</x:v>
      </x:c>
      <x:c r="F11" s="100" t="str">
        <x:v>P0</x:v>
      </x:c>
      <x:c r="G11" s="100" t="str">
        <x:v>未开始</x:v>
      </x:c>
      <x:c r="H11" s="104" t="str">
        <x:v>AI</x:v>
      </x:c>
      <x:c r="I11" s="106" t="str"/>
      <x:c r="J11" s="106" t="str"/>
      <x:c r="K11" s="100" t="str">
        <x:v>先查实录卷1及卷300</x:v>
      </x:c>
    </x:row>
    <x:row r="12" ht="34" customHeight="1">
      <x:c r="A12" s="100" t="str">
        <x:v>B3-02</x:v>
      </x:c>
      <x:c r="B12" s="102" t="n">
        <x:v>3</x:v>
      </x:c>
      <x:c r="C12" s="100" t="str">
        <x:v>人物</x:v>
      </x:c>
      <x:c r="D12" s="100" t="str">
        <x:v>回查康雍50人候选档</x:v>
      </x:c>
      <x:c r="E12" s="100" t="str">
        <x:v>异名、身份、首要证据和待核项齐全</x:v>
      </x:c>
      <x:c r="F12" s="100" t="str">
        <x:v>P0</x:v>
      </x:c>
      <x:c r="G12" s="100" t="str">
        <x:v>未开始</x:v>
      </x:c>
      <x:c r="H12" s="104" t="str">
        <x:v>AI</x:v>
      </x:c>
      <x:c r="I12" s="106" t="str"/>
      <x:c r="J12" s="106" t="str"/>
      <x:c r="K12" s="100" t="str">
        <x:v>一轮处理20—30条主张</x:v>
      </x:c>
    </x:row>
    <x:row r="13" ht="34" customHeight="1">
      <x:c r="A13" s="100" t="str">
        <x:v>B3-03</x:v>
      </x:c>
      <x:c r="B13" s="102" t="n">
        <x:v>3</x:v>
      </x:c>
      <x:c r="C13" s="100" t="str">
        <x:v>关系</x:v>
      </x:c>
      <x:c r="D13" s="100" t="str">
        <x:v>完成60条关系候选</x:v>
      </x:c>
      <x:c r="E13" s="100" t="str">
        <x:v>每条有关系类型、时间和证据状态</x:v>
      </x:c>
      <x:c r="F13" s="100" t="str">
        <x:v>P0</x:v>
      </x:c>
      <x:c r="G13" s="100" t="str">
        <x:v>未开始</x:v>
      </x:c>
      <x:c r="H13" s="104" t="str">
        <x:v>AI</x:v>
      </x:c>
      <x:c r="I13" s="106" t="str"/>
      <x:c r="J13" s="106" t="str"/>
      <x:c r="K13" s="100" t="str">
        <x:v>生母、嫡母、抚育者不可混写</x:v>
      </x:c>
    </x:row>
    <x:row r="14" ht="34" customHeight="1">
      <x:c r="A14" s="100" t="str">
        <x:v>B3-04</x:v>
      </x:c>
      <x:c r="B14" s="102" t="n">
        <x:v>3</x:v>
      </x:c>
      <x:c r="C14" s="100" t="str">
        <x:v>储位</x:v>
      </x:c>
      <x:c r="D14" s="100" t="str">
        <x:v>建立两废太子与继承事件链</x:v>
      </x:c>
      <x:c r="E14" s="100" t="str">
        <x:v>具体事件替代“九子夺嫡”笼统标签</x:v>
      </x:c>
      <x:c r="F14" s="100" t="str">
        <x:v>P0</x:v>
      </x:c>
      <x:c r="G14" s="100" t="str">
        <x:v>未开始</x:v>
      </x:c>
      <x:c r="H14" s="104" t="str">
        <x:v>AI</x:v>
      </x:c>
      <x:c r="I14" s="106" t="str"/>
      <x:c r="J14" s="106" t="str"/>
      <x:c r="K14" s="100" t="str">
        <x:v>冲突说法并列保存</x:v>
      </x:c>
    </x:row>
    <x:row r="15" ht="34" customHeight="1">
      <x:c r="A15" s="100" t="str">
        <x:v>B4-01</x:v>
      </x:c>
      <x:c r="B15" s="102" t="n">
        <x:v>4</x:v>
      </x:c>
      <x:c r="C15" s="100" t="str">
        <x:v>图像</x:v>
      </x:c>
      <x:c r="D15" s="100" t="str">
        <x:v>补核十二帝画像馆藏与版本</x:v>
      </x:c>
      <x:c r="E15" s="100" t="str">
        <x:v>对象、数字文件、认定、许可四层分开</x:v>
      </x:c>
      <x:c r="F15" s="100" t="str">
        <x:v>P0</x:v>
      </x:c>
      <x:c r="G15" s="100" t="str">
        <x:v>未开始</x:v>
      </x:c>
      <x:c r="H15" s="104" t="str">
        <x:v>AI</x:v>
      </x:c>
      <x:c r="I15" s="106" t="str"/>
      <x:c r="J15" s="106" t="str"/>
      <x:c r="K15" s="100" t="str">
        <x:v>Commons许可不等于认定无误</x:v>
      </x:c>
    </x:row>
    <x:row r="16" ht="34" customHeight="1">
      <x:c r="A16" s="100" t="str">
        <x:v>B4-02</x:v>
      </x:c>
      <x:c r="B16" s="102" t="n">
        <x:v>4</x:v>
      </x:c>
      <x:c r="C16" s="100" t="str">
        <x:v>页面</x:v>
      </x:c>
      <x:c r="D16" s="100" t="str">
        <x:v>生成十二帝本地导航页</x:v>
      </x:c>
      <x:c r="E16" s="100" t="str">
        <x:v>画像、史料入口和状态可浏览</x:v>
      </x:c>
      <x:c r="F16" s="100" t="str">
        <x:v>P1</x:v>
      </x:c>
      <x:c r="G16" s="100" t="str">
        <x:v>未开始</x:v>
      </x:c>
      <x:c r="H16" s="104" t="str">
        <x:v>AI</x:v>
      </x:c>
      <x:c r="I16" s="106" t="str"/>
      <x:c r="J16" s="106" t="str"/>
      <x:c r="K16" s="100" t="str">
        <x:v>骨架页明确标个人研究稿</x:v>
      </x:c>
    </x:row>
    <x:row r="17" ht="34" customHeight="1">
      <x:c r="A17" s="100" t="str">
        <x:v>B5-01</x:v>
      </x:c>
      <x:c r="B17" s="102" t="n">
        <x:v>5</x:v>
      </x:c>
      <x:c r="C17" s="100" t="str">
        <x:v>事件</x:v>
      </x:c>
      <x:c r="D17" s="100" t="str">
        <x:v>扩展政治、战争、制度和地点</x:v>
      </x:c>
      <x:c r="E17" s="100" t="str">
        <x:v>人物—事件—地点均有来源绑定</x:v>
      </x:c>
      <x:c r="F17" s="100" t="str">
        <x:v>P1</x:v>
      </x:c>
      <x:c r="G17" s="100" t="str">
        <x:v>未开始</x:v>
      </x:c>
      <x:c r="H17" s="104" t="str">
        <x:v>AI</x:v>
      </x:c>
      <x:c r="I17" s="106" t="str"/>
      <x:c r="J17" s="106" t="str"/>
      <x:c r="K17" s="100" t="str">
        <x:v>从康熙统治专题分册开始</x:v>
      </x:c>
    </x:row>
    <x:row r="18" ht="34" customHeight="1">
      <x:c r="A18" s="100" t="str">
        <x:v>B5-02</x:v>
      </x:c>
      <x:c r="B18" s="102" t="n">
        <x:v>5</x:v>
      </x:c>
      <x:c r="C18" s="100" t="str">
        <x:v>反证</x:v>
      </x:c>
      <x:c r="D18" s="100" t="str">
        <x:v>反查30条高风险主张</x:v>
      </x:c>
      <x:c r="E18" s="100" t="str">
        <x:v>支持与反驳材料及来源家族明确</x:v>
      </x:c>
      <x:c r="F18" s="100" t="str">
        <x:v>P0</x:v>
      </x:c>
      <x:c r="G18" s="100" t="str">
        <x:v>未开始</x:v>
      </x:c>
      <x:c r="H18" s="104" t="str">
        <x:v>反证Agent</x:v>
      </x:c>
      <x:c r="I18" s="106" t="str"/>
      <x:c r="J18" s="106" t="str"/>
      <x:c r="K18" s="100" t="str">
        <x:v>第二Agent不等于专家审核</x:v>
      </x:c>
    </x:row>
    <x:row r="19" ht="34" customHeight="1">
      <x:c r="A19" s="100" t="str">
        <x:v>B5-03</x:v>
      </x:c>
      <x:c r="B19" s="102" t="n">
        <x:v>5</x:v>
      </x:c>
      <x:c r="C19" s="100" t="str">
        <x:v>一致性</x:v>
      </x:c>
      <x:c r="D19" s="100" t="str">
        <x:v>运行ID、外键、日期和许可检查</x:v>
      </x:c>
      <x:c r="E19" s="100" t="str">
        <x:v>严重结构错误为0</x:v>
      </x:c>
      <x:c r="F19" s="100" t="str">
        <x:v>P0</x:v>
      </x:c>
      <x:c r="G19" s="100" t="str">
        <x:v>未开始</x:v>
      </x:c>
      <x:c r="H19" s="104" t="str">
        <x:v>AI</x:v>
      </x:c>
      <x:c r="I19" s="106" t="str"/>
      <x:c r="J19" s="106" t="str"/>
      <x:c r="K19" s="100" t="str">
        <x:v>发现一条严重错误则重开整批</x:v>
      </x:c>
    </x:row>
    <x:row r="20" ht="34" customHeight="1">
      <x:c r="A20" s="100" t="str">
        <x:v>B6-01</x:v>
      </x:c>
      <x:c r="B20" s="102" t="n">
        <x:v>6</x:v>
      </x:c>
      <x:c r="C20" s="100" t="str">
        <x:v>索引</x:v>
      </x:c>
      <x:c r="D20" s="100" t="str">
        <x:v>拆分《清史稿》帝后皇子公主条目</x:v>
      </x:c>
      <x:c r="E20" s="100" t="str">
        <x:v>人物级章节索引可检索</x:v>
      </x:c>
      <x:c r="F20" s="100" t="str">
        <x:v>P0</x:v>
      </x:c>
      <x:c r="G20" s="100" t="str">
        <x:v>进行中</x:v>
      </x:c>
      <x:c r="H20" s="104" t="str">
        <x:v>AI</x:v>
      </x:c>
      <x:c r="I20" s="106" t="str"/>
      <x:c r="J20" s="106" t="str"/>
      <x:c r="K20" s="100" t="str">
        <x:v>已定位卷164—166及214</x:v>
      </x:c>
    </x:row>
    <x:row r="21" ht="34" customHeight="1">
      <x:c r="A21" s="100" t="str">
        <x:v>B6-02</x:v>
      </x:c>
      <x:c r="B21" s="102" t="n">
        <x:v>6</x:v>
      </x:c>
      <x:c r="C21" s="100" t="str">
        <x:v>抽查</x:v>
      </x:c>
      <x:c r="D21" s="100" t="str">
        <x:v>执行用户H1随机抽查</x:v>
      </x:c>
      <x:c r="E21" s="100" t="str">
        <x:v>抽查30主张、15关系、全部嵌入图像</x:v>
      </x:c>
      <x:c r="F21" s="100" t="str">
        <x:v>P0</x:v>
      </x:c>
      <x:c r="G21" s="100" t="str">
        <x:v>未开始</x:v>
      </x:c>
      <x:c r="H21" s="104" t="str">
        <x:v>用户</x:v>
      </x:c>
      <x:c r="I21" s="106" t="str"/>
      <x:c r="J21" s="106" t="str"/>
      <x:c r="K21" s="100" t="str">
        <x:v>不抽查则一直标AI研究草稿</x:v>
      </x:c>
    </x:row>
    <x:row r="22" ht="34" customHeight="1">
      <x:c r="A22" s="100" t="str">
        <x:v>B6-03</x:v>
      </x:c>
      <x:c r="B22" s="102" t="n">
        <x:v>6</x:v>
      </x:c>
      <x:c r="C22" s="100" t="str">
        <x:v>续作</x:v>
      </x:c>
      <x:c r="D22" s="100" t="str">
        <x:v>生成雍正卷下一任务队列</x:v>
      </x:c>
      <x:c r="E22" s="100" t="str">
        <x:v>AI可从磁盘状态无损继续</x:v>
      </x:c>
      <x:c r="F22" s="100" t="str">
        <x:v>P1</x:v>
      </x:c>
      <x:c r="G22" s="100" t="str">
        <x:v>未开始</x:v>
      </x:c>
      <x:c r="H22" s="104" t="str">
        <x:v>AI</x:v>
      </x:c>
      <x:c r="I22" s="106" t="str"/>
      <x:c r="J22" s="106" t="str"/>
      <x:c r="K22" s="100" t="str">
        <x:v>不依赖聊天上下文记忆</x:v>
      </x:c>
    </x:row>
  </x:sheetData>
  <x:mergeCells>
    <x:mergeCell ref="A1:K1"/>
    <x:mergeCell ref="A2:K2"/>
  </x:mergeCells>
  <x:conditionalFormatting sqref="F5:F22">
    <x:cfRule type="containsText" dxfId="26" priority="1" operator="containsText" text="P0"/>
    <x:cfRule type="containsText" dxfId="27" priority="2" operator="containsText" text="P1"/>
    <x:cfRule type="containsText" dxfId="28" priority="3" operator="containsText" text="P2"/>
  </x:conditionalFormatting>
  <x:conditionalFormatting sqref="G5:G22">
    <x:cfRule type="containsText" dxfId="29" priority="4" operator="containsText" text="已完成"/>
    <x:cfRule type="containsText" dxfId="30" priority="5" operator="containsText" text="已通过"/>
    <x:cfRule type="containsText" dxfId="31" priority="6" operator="containsText" text="进行中"/>
    <x:cfRule type="containsText" dxfId="32" priority="7" operator="containsText" text="待审核"/>
    <x:cfRule type="containsText" dxfId="33" priority="8" operator="containsText" text="阻塞"/>
  </x:conditionalFormatting>
  <x:dataValidations count="2">
    <x:dataValidation type="list" sqref="F5:F22">
      <x:formula1>"P0,P1,P2,P3"</x:formula1>
    </x:dataValidation>
    <x:dataValidation type="list" sqref="G5:G22">
      <x:formula1>"未开始,进行中,阻塞,待审核,已完成"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afb60cec274a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18" hidden="0" customWidth="1"/>
    <x:col min="4" max="4" width="26" hidden="0" customWidth="1"/>
    <x:col min="5" max="5" width="30" hidden="0" customWidth="1"/>
    <x:col min="6" max="6" width="20" hidden="0" customWidth="1"/>
    <x:col min="7" max="7" width="10" hidden="0" customWidth="1"/>
    <x:col min="8" max="8" width="38" hidden="0" customWidth="1"/>
    <x:col min="9" max="9" width="55" hidden="0" customWidth="1"/>
    <x:col min="10" max="10" width="52" hidden="0" customWidth="1"/>
    <x:col min="11" max="11" width="12" hidden="0" customWidth="1"/>
    <x:col min="12" max="12" width="14" hidden="0" customWidth="1"/>
    <x:col min="13" max="13" width="30" hidden="0" customWidth="1"/>
  </x:cols>
  <x:sheetData>
    <x:row r="1" ht="34" customHeight="1">
      <x:c r="A1" s="3" t="str">
        <x:v>康熙—雍正首批 50 人候选档</x:v>
      </x:c>
    </x:row>
    <x:row r="2" ht="24" customHeight="1">
      <x:c r="A2" s="6" t="str">
        <x:v>这是深挖样本而非全清名人榜；每人仍需逐条来源回查，当前记录不得视为已证实</x:v>
      </x:c>
    </x:row>
    <x:row r="4" ht="32" customHeight="1">
      <x:c r="A4" s="92" t="str">
        <x:v>person_id</x:v>
      </x:c>
      <x:c r="B4" s="93" t="str">
        <x:v>序号</x:v>
      </x:c>
      <x:c r="C4" s="93" t="str">
        <x:v>分组</x:v>
      </x:c>
      <x:c r="D4" s="93" t="str">
        <x:v>规范名</x:v>
      </x:c>
      <x:c r="E4" s="93" t="str">
        <x:v>常用名或异名</x:v>
      </x:c>
      <x:c r="F4" s="93" t="str">
        <x:v>人物类型</x:v>
      </x:c>
      <x:c r="G4" s="93" t="str">
        <x:v>优先级</x:v>
      </x:c>
      <x:c r="H4" s="93" t="str">
        <x:v>选择理由</x:v>
      </x:c>
      <x:c r="I4" s="93" t="str">
        <x:v>核心待核主张</x:v>
      </x:c>
      <x:c r="J4" s="93" t="str">
        <x:v>首要史料入口</x:v>
      </x:c>
      <x:c r="K4" s="93" t="str">
        <x:v>工作状态</x:v>
      </x:c>
      <x:c r="L4" s="93" t="str">
        <x:v>责任人</x:v>
      </x:c>
      <x:c r="M4" s="94" t="str">
        <x:v>审核备注</x:v>
      </x:c>
    </x:row>
    <x:row r="5" ht="48" customHeight="1">
      <x:c r="A5" s="99" t="str">
        <x:v>QH-P-000001</x:v>
      </x:c>
      <x:c r="B5" s="99" t="str">
        <x:v>1</x:v>
      </x:c>
      <x:c r="C5" s="99" t="str">
        <x:v>皇帝皇子皇孙公主</x:v>
      </x:c>
      <x:c r="D5" s="99" t="str">
        <x:v>爱新觉罗·玄烨</x:v>
      </x:c>
      <x:c r="E5" s="99" t="str">
        <x:v>康熙帝；圣祖</x:v>
      </x:c>
      <x:c r="F5" s="99" t="str">
        <x:v>皇帝</x:v>
      </x:c>
      <x:c r="G5" s="99" t="str">
        <x:v>P0</x:v>
      </x:c>
      <x:c r="H5" s="99" t="str">
        <x:v>所有亲属和继承关系的中心节点</x:v>
      </x:c>
      <x:c r="I5" s="99" t="str">
        <x:v>崩逝时间地点在场人员及遗诏形成和宣读程序；晚年对诸子的实际处分</x:v>
      </x:c>
      <x:c r="J5" s="99" t="str">
        <x:v>《清圣祖实录》卷末；《康熙起居注》；康熙遗诏满汉文本；上谕档</x:v>
      </x:c>
      <x:c r="K5" s="99" t="str">
        <x:v>待取证</x:v>
      </x:c>
      <x:c r="L5" s="103" t="str"/>
      <x:c r="M5" s="103" t="str"/>
    </x:row>
    <x:row r="6" ht="48" customHeight="1">
      <x:c r="A6" s="100" t="str">
        <x:v>QH-P-000002</x:v>
      </x:c>
      <x:c r="B6" s="100" t="str">
        <x:v>2</x:v>
      </x:c>
      <x:c r="C6" s="100" t="str">
        <x:v>皇帝皇子皇孙公主</x:v>
      </x:c>
      <x:c r="D6" s="100" t="str">
        <x:v>爱新觉罗·胤禛</x:v>
      </x:c>
      <x:c r="E6" s="100" t="str">
        <x:v>雍正帝；世宗；皇四子</x:v>
      </x:c>
      <x:c r="F6" s="100" t="str">
        <x:v>皇帝</x:v>
      </x:c>
      <x:c r="G6" s="100" t="str">
        <x:v>P0</x:v>
      </x:c>
      <x:c r="H6" s="100" t="str">
        <x:v>继承结果及早期政治重组中心</x:v>
      </x:c>
      <x:c r="I6" s="100" t="str">
        <x:v>名讳沿革；生母抚养者和嫡母关系；即位程序；即位后兄弟处分逐项时间线</x:v>
      </x:c>
      <x:c r="J6" s="100" t="str">
        <x:v>《清世宗实录》卷首；《雍正朝起居注册》；《雍正朱批谕旨》；历年《玉牒》</x:v>
      </x:c>
      <x:c r="K6" s="100" t="str">
        <x:v>待取证</x:v>
      </x:c>
      <x:c r="L6" s="104" t="str"/>
      <x:c r="M6" s="104" t="str"/>
    </x:row>
    <x:row r="7" ht="48" customHeight="1">
      <x:c r="A7" s="100" t="str">
        <x:v>QH-P-000003</x:v>
      </x:c>
      <x:c r="B7" s="100" t="str">
        <x:v>3</x:v>
      </x:c>
      <x:c r="C7" s="100" t="str">
        <x:v>皇帝皇子皇孙公主</x:v>
      </x:c>
      <x:c r="D7" s="100" t="str">
        <x:v>爱新觉罗·胤禔</x:v>
      </x:c>
      <x:c r="E7" s="100" t="str">
        <x:v>允禔；皇长子；直郡王</x:v>
      </x:c>
      <x:c r="F7" s="100" t="str">
        <x:v>皇子</x:v>
      </x:c>
      <x:c r="G7" s="100" t="str">
        <x:v>P0</x:v>
      </x:c>
      <x:c r="H7" s="100" t="str">
        <x:v>第一轮废储中的核心行动者</x:v>
      </x:c>
      <x:c r="I7" s="100" t="str">
        <x:v>皇子自然序与齿序；镇魇胤礽案证据链；终身拘禁起止和家属处分</x:v>
      </x:c>
      <x:c r="J7" s="100" t="str">
        <x:v>《玉牒》；《清圣祖实录》康熙四十七年前后；宗人府处分档</x:v>
      </x:c>
      <x:c r="K7" s="100" t="str">
        <x:v>待取证</x:v>
      </x:c>
      <x:c r="L7" s="104" t="str"/>
      <x:c r="M7" s="104" t="str"/>
    </x:row>
    <x:row r="8" ht="48" customHeight="1">
      <x:c r="A8" s="100" t="str">
        <x:v>QH-P-000004</x:v>
      </x:c>
      <x:c r="B8" s="100" t="str">
        <x:v>4</x:v>
      </x:c>
      <x:c r="C8" s="100" t="str">
        <x:v>皇帝皇子皇孙公主</x:v>
      </x:c>
      <x:c r="D8" s="100" t="str">
        <x:v>爱新觉罗·胤礽</x:v>
      </x:c>
      <x:c r="E8" s="100" t="str">
        <x:v>允礽；保成；皇太子；理密亲王</x:v>
      </x:c>
      <x:c r="F8" s="100" t="str">
        <x:v>皇子及储君</x:v>
      </x:c>
      <x:c r="G8" s="100" t="str">
        <x:v>P0</x:v>
      </x:c>
      <x:c r="H8" s="100" t="str">
        <x:v>整个专题的另一中心</x:v>
      </x:c>
      <x:c r="I8" s="100" t="str">
        <x:v>第六子而序为第二子口径；两立两废程序；精神和行为指控来源层级；郑家庄安排</x:v>
      </x:c>
      <x:c r="J8" s="100" t="str">
        <x:v>历年《玉牒》；《清圣祖实录》康熙十四四十七四十八五十一年；皇太子相关宫中档</x:v>
      </x:c>
      <x:c r="K8" s="100" t="str">
        <x:v>待取证</x:v>
      </x:c>
      <x:c r="L8" s="104" t="str"/>
      <x:c r="M8" s="104" t="str"/>
    </x:row>
    <x:row r="9" ht="48" customHeight="1">
      <x:c r="A9" s="100" t="str">
        <x:v>QH-P-000005</x:v>
      </x:c>
      <x:c r="B9" s="100" t="str">
        <x:v>5</x:v>
      </x:c>
      <x:c r="C9" s="100" t="str">
        <x:v>皇帝皇子皇孙公主</x:v>
      </x:c>
      <x:c r="D9" s="100" t="str">
        <x:v>爱新觉罗·胤祉</x:v>
      </x:c>
      <x:c r="E9" s="100" t="str">
        <x:v>允祉；诚亲王；诚隐郡王</x:v>
      </x:c>
      <x:c r="F9" s="100" t="str">
        <x:v>皇子</x:v>
      </x:c>
      <x:c r="G9" s="100" t="str">
        <x:v>P1</x:v>
      </x:c>
      <x:c r="H9" s="100" t="str">
        <x:v>废储案参与者并兼有文化编纂与政治角色</x:v>
      </x:c>
      <x:c r="I9" s="100" t="str">
        <x:v>在胤禔案废储和康熙崩后事件中的具体行为；削爵拘禁原因及时间</x:v>
      </x:c>
      <x:c r="J9" s="100" t="str">
        <x:v>《玉牒》；《清圣祖实录》康熙四十七六十一年；《清世宗实录》；宗人府档</x:v>
      </x:c>
      <x:c r="K9" s="100" t="str">
        <x:v>待取证</x:v>
      </x:c>
      <x:c r="L9" s="104" t="str"/>
      <x:c r="M9" s="104" t="str"/>
    </x:row>
    <x:row r="10" ht="48" customHeight="1">
      <x:c r="A10" s="100" t="str">
        <x:v>QH-P-000006</x:v>
      </x:c>
      <x:c r="B10" s="100" t="str">
        <x:v>6</x:v>
      </x:c>
      <x:c r="C10" s="100" t="str">
        <x:v>皇帝皇子皇孙公主</x:v>
      </x:c>
      <x:c r="D10" s="100" t="str">
        <x:v>爱新觉罗·胤祺</x:v>
      </x:c>
      <x:c r="E10" s="100" t="str">
        <x:v>允祺；恒亲王；皇五子</x:v>
      </x:c>
      <x:c r="F10" s="100" t="str">
        <x:v>皇子及对照样本</x:v>
      </x:c>
      <x:c r="G10" s="100" t="str">
        <x:v>P2</x:v>
      </x:c>
      <x:c r="H10" s="100" t="str">
        <x:v>与胤禟同母却政治轨迹不同可防止母族决定论</x:v>
      </x:c>
      <x:c r="I10" s="100" t="str">
        <x:v>是否及何时由孝惠章皇后抚育；未进入核心争储叙事的证据边界</x:v>
      </x:c>
      <x:c r="J10" s="100" t="str">
        <x:v>《玉牒》；《清圣祖实录》封爵差务条；孝惠章皇后相关宫中档</x:v>
      </x:c>
      <x:c r="K10" s="100" t="str">
        <x:v>待取证</x:v>
      </x:c>
      <x:c r="L10" s="104" t="str"/>
      <x:c r="M10" s="104" t="str"/>
    </x:row>
    <x:row r="11" ht="48" customHeight="1">
      <x:c r="A11" s="100" t="str">
        <x:v>QH-P-000007</x:v>
      </x:c>
      <x:c r="B11" s="100" t="str">
        <x:v>7</x:v>
      </x:c>
      <x:c r="C11" s="100" t="str">
        <x:v>皇帝皇子皇孙公主</x:v>
      </x:c>
      <x:c r="D11" s="100" t="str">
        <x:v>爱新觉罗·胤禩</x:v>
      </x:c>
      <x:c r="E11" s="100" t="str">
        <x:v>允禩；廉亲王；阿其那</x:v>
      </x:c>
      <x:c r="F11" s="100" t="str">
        <x:v>皇子</x:v>
      </x:c>
      <x:c r="G11" s="100" t="str">
        <x:v>P0</x:v>
      </x:c>
      <x:c r="H11" s="100" t="str">
        <x:v>康熙四十七年后最重要候选和处分对象之一</x:v>
      </x:c>
      <x:c r="I11" s="100" t="str">
        <x:v>生母与抚养关系；百官推举真实程序；阿其那的下令用法与释义争议；除籍和死亡</x:v>
      </x:c>
      <x:c r="J11" s="100" t="str">
        <x:v>《玉牒》；《清圣祖实录》康熙四十七年；《清世宗实录》雍正元至四年；宗人府档</x:v>
      </x:c>
      <x:c r="K11" s="100" t="str">
        <x:v>待取证</x:v>
      </x:c>
      <x:c r="L11" s="104" t="str"/>
      <x:c r="M11" s="104" t="str"/>
    </x:row>
    <x:row r="12" ht="48" customHeight="1">
      <x:c r="A12" s="100" t="str">
        <x:v>QH-P-000008</x:v>
      </x:c>
      <x:c r="B12" s="100" t="str">
        <x:v>8</x:v>
      </x:c>
      <x:c r="C12" s="100" t="str">
        <x:v>皇帝皇子皇孙公主</x:v>
      </x:c>
      <x:c r="D12" s="100" t="str">
        <x:v>爱新觉罗·胤禟</x:v>
      </x:c>
      <x:c r="E12" s="100" t="str">
        <x:v>允禟；皇九子；塞思黑</x:v>
      </x:c>
      <x:c r="F12" s="100" t="str">
        <x:v>皇子</x:v>
      </x:c>
      <x:c r="G12" s="100" t="str">
        <x:v>P0</x:v>
      </x:c>
      <x:c r="H12" s="100" t="str">
        <x:v>胤禩政治与资源网络的重要节点</x:v>
      </x:c>
      <x:c r="I12" s="100" t="str">
        <x:v>与胤禩胤禵可证实的协同行为；西北活动；改名押解死亡及家属处分</x:v>
      </x:c>
      <x:c r="J12" s="100" t="str">
        <x:v>《玉牒》；《清世宗实录》；允禟案和秦道然案供档；宗人府档</x:v>
      </x:c>
      <x:c r="K12" s="100" t="str">
        <x:v>待取证</x:v>
      </x:c>
      <x:c r="L12" s="104" t="str"/>
      <x:c r="M12" s="104" t="str"/>
    </x:row>
    <x:row r="13" ht="48" customHeight="1">
      <x:c r="A13" s="100" t="str">
        <x:v>QH-P-000009</x:v>
      </x:c>
      <x:c r="B13" s="100" t="str">
        <x:v>9</x:v>
      </x:c>
      <x:c r="C13" s="100" t="str">
        <x:v>皇帝皇子皇孙公主</x:v>
      </x:c>
      <x:c r="D13" s="100" t="str">
        <x:v>爱新觉罗·胤䄉</x:v>
      </x:c>
      <x:c r="E13" s="100" t="str">
        <x:v>允䄉；皇十子；敦郡王</x:v>
      </x:c>
      <x:c r="F13" s="100" t="str">
        <x:v>皇子</x:v>
      </x:c>
      <x:c r="G13" s="100" t="str">
        <x:v>P1</x:v>
      </x:c>
      <x:c r="H13" s="100" t="str">
        <x:v>高等级母族与政治选择的检验样本</x:v>
      </x:c>
      <x:c r="I13" s="100" t="str">
        <x:v>母族地位如何实际转化为资源；与胤禩等人的关系；赴蒙古途中被拘及后续处分</x:v>
      </x:c>
      <x:c r="J13" s="100" t="str">
        <x:v>《玉牒》；《清圣祖实录》；《清世宗实录》；宗人府处分档</x:v>
      </x:c>
      <x:c r="K13" s="100" t="str">
        <x:v>待取证</x:v>
      </x:c>
      <x:c r="L13" s="104" t="str"/>
      <x:c r="M13" s="104" t="str"/>
    </x:row>
    <x:row r="14" ht="48" customHeight="1">
      <x:c r="A14" s="100" t="str">
        <x:v>QH-P-000010</x:v>
      </x:c>
      <x:c r="B14" s="100" t="str">
        <x:v>10</x:v>
      </x:c>
      <x:c r="C14" s="100" t="str">
        <x:v>皇帝皇子皇孙公主</x:v>
      </x:c>
      <x:c r="D14" s="100" t="str">
        <x:v>爱新觉罗·胤祹</x:v>
      </x:c>
      <x:c r="E14" s="100" t="str">
        <x:v>允祹；履亲王；皇十二子</x:v>
      </x:c>
      <x:c r="F14" s="100" t="str">
        <x:v>皇子</x:v>
      </x:c>
      <x:c r="G14" s="100" t="str">
        <x:v>P1</x:v>
      </x:c>
      <x:c r="H14" s="100" t="str">
        <x:v>苏麻喇姑抚育关系和相对中立路线样本</x:v>
      </x:c>
      <x:c r="I14" s="100" t="str">
        <x:v>生母与抚养者职责区别；苏麻喇姑是否属于养母；爵位反复及原因</x:v>
      </x:c>
      <x:c r="J14" s="100" t="str">
        <x:v>《玉牒》；苏麻喇姑病逝满文档；《清圣祖实录》《清世宗实录》；宗人府档</x:v>
      </x:c>
      <x:c r="K14" s="100" t="str">
        <x:v>待取证</x:v>
      </x:c>
      <x:c r="L14" s="104" t="str"/>
      <x:c r="M14" s="104" t="str"/>
    </x:row>
    <x:row r="15" ht="48" customHeight="1">
      <x:c r="A15" s="100" t="str">
        <x:v>QH-P-000011</x:v>
      </x:c>
      <x:c r="B15" s="100" t="str">
        <x:v>11</x:v>
      </x:c>
      <x:c r="C15" s="100" t="str">
        <x:v>皇帝皇子皇孙公主</x:v>
      </x:c>
      <x:c r="D15" s="100" t="str">
        <x:v>爱新觉罗·胤祥</x:v>
      </x:c>
      <x:c r="E15" s="100" t="str">
        <x:v>允祥；怡贤亲王；皇十三子</x:v>
      </x:c>
      <x:c r="F15" s="100" t="str">
        <x:v>皇子</x:v>
      </x:c>
      <x:c r="G15" s="100" t="str">
        <x:v>P0</x:v>
      </x:c>
      <x:c r="H15" s="100" t="str">
        <x:v>雍正即位后最重要的宗室合作者</x:v>
      </x:c>
      <x:c r="I15" s="100" t="str">
        <x:v>康熙晚年活动为何在通行叙事中出现空白；胤允改名及恢复；即位后实际权力范围</x:v>
      </x:c>
      <x:c r="J15" s="100" t="str">
        <x:v>《玉牒》；《清圣祖实录》《清世宗实录》；怡亲王奏折；内务府相关档</x:v>
      </x:c>
      <x:c r="K15" s="100" t="str">
        <x:v>待取证</x:v>
      </x:c>
      <x:c r="L15" s="104" t="str"/>
      <x:c r="M15" s="104" t="str"/>
    </x:row>
    <x:row r="16" ht="48" customHeight="1">
      <x:c r="A16" s="100" t="str">
        <x:v>QH-P-000012</x:v>
      </x:c>
      <x:c r="B16" s="100" t="str">
        <x:v>12</x:v>
      </x:c>
      <x:c r="C16" s="100" t="str">
        <x:v>皇帝皇子皇孙公主</x:v>
      </x:c>
      <x:c r="D16" s="100" t="str">
        <x:v>爱新觉罗·胤禵</x:v>
      </x:c>
      <x:c r="E16" s="100" t="str">
        <x:v>原名胤祯；允禵；皇十四子；大将军王</x:v>
      </x:c>
      <x:c r="F16" s="100" t="str">
        <x:v>皇子</x:v>
      </x:c>
      <x:c r="G16" s="100" t="str">
        <x:v>P0</x:v>
      </x:c>
      <x:c r="H16" s="100" t="str">
        <x:v>同母兄弟与传位十四子传说的核心对象</x:v>
      </x:c>
      <x:c r="I16" s="100" t="str">
        <x:v>各时期真实用名；大将军王任命权限；康熙是否表达储意；召回守陵拘禁程序</x:v>
      </x:c>
      <x:c r="J16" s="100" t="str">
        <x:v>各年《玉牒》；《抚远大将军允禵奏稿》；《清圣祖实录》《清世宗实录》；康熙遗诏满汉本</x:v>
      </x:c>
      <x:c r="K16" s="100" t="str">
        <x:v>待取证</x:v>
      </x:c>
      <x:c r="L16" s="104" t="str"/>
      <x:c r="M16" s="104" t="str"/>
    </x:row>
    <x:row r="17" ht="48" customHeight="1">
      <x:c r="A17" s="100" t="str">
        <x:v>QH-P-000013</x:v>
      </x:c>
      <x:c r="B17" s="100" t="str">
        <x:v>13</x:v>
      </x:c>
      <x:c r="C17" s="100" t="str">
        <x:v>皇帝皇子皇孙公主</x:v>
      </x:c>
      <x:c r="D17" s="100" t="str">
        <x:v>爱新觉罗·胤禄</x:v>
      </x:c>
      <x:c r="E17" s="100" t="str">
        <x:v>允禄；庄恪亲王；皇十六子</x:v>
      </x:c>
      <x:c r="F17" s="100" t="str">
        <x:v>皇子及承继者</x:v>
      </x:c>
      <x:c r="G17" s="100" t="str">
        <x:v>P2</x:v>
      </x:c>
      <x:c r="H17" s="100" t="str">
        <x:v>测试生物父子与过继宗支并存的数据结构</x:v>
      </x:c>
      <x:c r="I17" s="100" t="str">
        <x:v>奉旨承继庄亲王博果铎之后的日期和法律形式；承继后与皇子身份如何并存</x:v>
      </x:c>
      <x:c r="J17" s="100" t="str">
        <x:v>雍正初年《玉牒》；宗人府承继档；《清世宗实录》</x:v>
      </x:c>
      <x:c r="K17" s="100" t="str">
        <x:v>待取证</x:v>
      </x:c>
      <x:c r="L17" s="104" t="str"/>
      <x:c r="M17" s="104" t="str"/>
    </x:row>
    <x:row r="18" ht="48" customHeight="1">
      <x:c r="A18" s="100" t="str">
        <x:v>QH-P-000014</x:v>
      </x:c>
      <x:c r="B18" s="100" t="str">
        <x:v>14</x:v>
      </x:c>
      <x:c r="C18" s="100" t="str">
        <x:v>皇帝皇子皇孙公主</x:v>
      </x:c>
      <x:c r="D18" s="100" t="str">
        <x:v>爱新觉罗·胤礼</x:v>
      </x:c>
      <x:c r="E18" s="100" t="str">
        <x:v>允礼；果毅亲王；皇十七子</x:v>
      </x:c>
      <x:c r="F18" s="100" t="str">
        <x:v>皇子</x:v>
      </x:c>
      <x:c r="G18" s="100" t="str">
        <x:v>P2</x:v>
      </x:c>
      <x:c r="H18" s="100" t="str">
        <x:v>雍正初年启用年幼诸弟的对照样本</x:v>
      </x:c>
      <x:c r="I18" s="100" t="str">
        <x:v>康熙末年身份和差务；雍正初封爵任职节奏；通行支持某方说是否有证据</x:v>
      </x:c>
      <x:c r="J18" s="100" t="str">
        <x:v>《玉牒》；《清世宗实录》封爵差务条；宗人府档</x:v>
      </x:c>
      <x:c r="K18" s="100" t="str">
        <x:v>待取证</x:v>
      </x:c>
      <x:c r="L18" s="104" t="str"/>
      <x:c r="M18" s="104" t="str"/>
    </x:row>
    <x:row r="19" ht="48" customHeight="1">
      <x:c r="A19" s="100" t="str">
        <x:v>QH-P-000015</x:v>
      </x:c>
      <x:c r="B19" s="100" t="str">
        <x:v>15</x:v>
      </x:c>
      <x:c r="C19" s="100" t="str">
        <x:v>皇帝皇子皇孙公主</x:v>
      </x:c>
      <x:c r="D19" s="100" t="str">
        <x:v>爱新觉罗·胤祄</x:v>
      </x:c>
      <x:c r="E19" s="100" t="str">
        <x:v>皇十八子；十八阿哥</x:v>
      </x:c>
      <x:c r="F19" s="100" t="str">
        <x:v>皇子</x:v>
      </x:c>
      <x:c r="G19" s="100" t="str">
        <x:v>P1</x:v>
      </x:c>
      <x:c r="H19" s="100" t="str">
        <x:v>其死亡是首次废太子官方叙事中的关键事件</x:v>
      </x:c>
      <x:c r="I19" s="100" t="str">
        <x:v>热河病亡过程；康熙对胤礽反应的记述来自何种记录；后来的道德化叙事是否增饰</x:v>
      </x:c>
      <x:c r="J19" s="100" t="str">
        <x:v>《玉牒》；《清圣祖实录》康熙四十七年；随驾起居奏折及宫中档</x:v>
      </x:c>
      <x:c r="K19" s="100" t="str">
        <x:v>待取证</x:v>
      </x:c>
      <x:c r="L19" s="104" t="str"/>
      <x:c r="M19" s="104" t="str"/>
    </x:row>
    <x:row r="20" ht="48" customHeight="1">
      <x:c r="A20" s="100" t="str">
        <x:v>QH-P-000016</x:v>
      </x:c>
      <x:c r="B20" s="100" t="str">
        <x:v>16</x:v>
      </x:c>
      <x:c r="C20" s="100" t="str">
        <x:v>皇帝皇子皇孙公主</x:v>
      </x:c>
      <x:c r="D20" s="100" t="str">
        <x:v>爱新觉罗·弘晳</x:v>
      </x:c>
      <x:c r="E20" s="100" t="str">
        <x:v>弘皙；理亲王</x:v>
      </x:c>
      <x:c r="F20" s="100" t="str">
        <x:v>皇孙及胤礽子</x:v>
      </x:c>
      <x:c r="G20" s="100" t="str">
        <x:v>P0</x:v>
      </x:c>
      <x:c r="H20" s="100" t="str">
        <x:v>废太子支系在雍正朝的延续节点</x:v>
      </x:c>
      <x:c r="I20" s="100" t="str">
        <x:v>生母；康熙对其待遇；雍正二年移居郑家庄性质；乾隆四年案如何反向塑造早期叙事</x:v>
      </x:c>
      <x:c r="J20" s="100" t="str">
        <x:v>雍正二年《玉牒》；宗人府档；郑家庄驻防档；《清世宗实录》《清高宗实录》</x:v>
      </x:c>
      <x:c r="K20" s="100" t="str">
        <x:v>待取证</x:v>
      </x:c>
      <x:c r="L20" s="104" t="str"/>
      <x:c r="M20" s="104" t="str"/>
    </x:row>
    <x:row r="21" ht="48" customHeight="1">
      <x:c r="A21" s="100" t="str">
        <x:v>QH-P-000017</x:v>
      </x:c>
      <x:c r="B21" s="100" t="str">
        <x:v>17</x:v>
      </x:c>
      <x:c r="C21" s="100" t="str">
        <x:v>皇帝皇子皇孙公主</x:v>
      </x:c>
      <x:c r="D21" s="100" t="str">
        <x:v>爱新觉罗·弘晖</x:v>
      </x:c>
      <x:c r="E21" s="100" t="str">
        <x:v>后追封端亲王</x:v>
      </x:c>
      <x:c r="F21" s="100" t="str">
        <x:v>雍正皇子及康熙皇孙</x:v>
      </x:c>
      <x:c r="G21" s="100" t="str">
        <x:v>P1</x:v>
      </x:c>
      <x:c r="H21" s="100" t="str">
        <x:v>嫡长子早夭与后世追封的模型样本</x:v>
      </x:c>
      <x:c r="I21" s="100" t="str">
        <x:v>生母出生和早夭日期；追封端亲王时间与政治语境</x:v>
      </x:c>
      <x:c r="J21" s="100" t="str">
        <x:v>《玉牒》；宗人府档；《清世宗实录》追封条；丧祭档</x:v>
      </x:c>
      <x:c r="K21" s="100" t="str">
        <x:v>待取证</x:v>
      </x:c>
      <x:c r="L21" s="104" t="str"/>
      <x:c r="M21" s="104" t="str"/>
    </x:row>
    <x:row r="22" ht="48" customHeight="1">
      <x:c r="A22" s="100" t="str">
        <x:v>QH-P-000018</x:v>
      </x:c>
      <x:c r="B22" s="100" t="str">
        <x:v>18</x:v>
      </x:c>
      <x:c r="C22" s="100" t="str">
        <x:v>皇帝皇子皇孙公主</x:v>
      </x:c>
      <x:c r="D22" s="100" t="str">
        <x:v>爱新觉罗·弘时</x:v>
      </x:c>
      <x:c r="E22" s="100" t="str">
        <x:v>皇三子</x:v>
      </x:c>
      <x:c r="F22" s="100" t="str">
        <x:v>雍正皇子及康熙皇孙</x:v>
      </x:c>
      <x:c r="G22" s="100" t="str">
        <x:v>P1</x:v>
      </x:c>
      <x:c r="H22" s="100" t="str">
        <x:v>雍正家内继承与除籍争议关键人物</x:v>
      </x:c>
      <x:c r="I22" s="100" t="str">
        <x:v>雍正年间身份处分；是否及何时被命为允禩之子；除籍死亡和乾隆朝恢复宗籍文书链</x:v>
      </x:c>
      <x:c r="J22" s="100" t="str">
        <x:v>不同年份《玉牒》；宗人府承继除籍档；《清世宗实录》《清高宗实录》</x:v>
      </x:c>
      <x:c r="K22" s="100" t="str">
        <x:v>待取证</x:v>
      </x:c>
      <x:c r="L22" s="104" t="str"/>
      <x:c r="M22" s="104" t="str"/>
    </x:row>
    <x:row r="23" ht="48" customHeight="1">
      <x:c r="A23" s="100" t="str">
        <x:v>QH-P-000019</x:v>
      </x:c>
      <x:c r="B23" s="100" t="str">
        <x:v>19</x:v>
      </x:c>
      <x:c r="C23" s="100" t="str">
        <x:v>皇帝皇子皇孙公主</x:v>
      </x:c>
      <x:c r="D23" s="100" t="str">
        <x:v>爱新觉罗·弘历</x:v>
      </x:c>
      <x:c r="E23" s="100" t="str">
        <x:v>宝亲王；乾隆帝；高宗</x:v>
      </x:c>
      <x:c r="F23" s="100" t="str">
        <x:v>雍正皇子及康熙皇孙</x:v>
      </x:c>
      <x:c r="G23" s="100" t="str">
        <x:v>P0</x:v>
      </x:c>
      <x:c r="H23" s="100" t="str">
        <x:v>雍正最终继承者并连接秘密建储制度</x:v>
      </x:c>
      <x:c r="I23" s="100" t="str">
        <x:v>生母及出生记录；康熙见过喜爱乃至属意的说法各自证据；秘密建储文书形成过程</x:v>
      </x:c>
      <x:c r="J23" s="100" t="str">
        <x:v>《玉牒》；《雍正朝起居注册》；秘密建储上谕与宗人府档；《清世宗实录》</x:v>
      </x:c>
      <x:c r="K23" s="100" t="str">
        <x:v>待取证</x:v>
      </x:c>
      <x:c r="L23" s="104" t="str"/>
      <x:c r="M23" s="104" t="str"/>
    </x:row>
    <x:row r="24" ht="48" customHeight="1">
      <x:c r="A24" s="100" t="str">
        <x:v>QH-P-000020</x:v>
      </x:c>
      <x:c r="B24" s="100" t="str">
        <x:v>20</x:v>
      </x:c>
      <x:c r="C24" s="100" t="str">
        <x:v>皇帝皇子皇孙公主</x:v>
      </x:c>
      <x:c r="D24" s="100" t="str">
        <x:v>爱新觉罗·弘昼</x:v>
      </x:c>
      <x:c r="E24" s="100" t="str">
        <x:v>和亲王</x:v>
      </x:c>
      <x:c r="F24" s="100" t="str">
        <x:v>雍正皇子及康熙皇孙</x:v>
      </x:c>
      <x:c r="G24" s="100" t="str">
        <x:v>P1</x:v>
      </x:c>
      <x:c r="H24" s="100" t="str">
        <x:v>与弘历同为成年存活皇子的重要对照</x:v>
      </x:c>
      <x:c r="I24" s="100" t="str">
        <x:v>生母；雍正初期受封和差务；是否曾处于继承考虑范围只能以何种证据判断</x:v>
      </x:c>
      <x:c r="J24" s="100" t="str">
        <x:v>《玉牒》；《清世宗实录》；宗人府封爵档</x:v>
      </x:c>
      <x:c r="K24" s="100" t="str">
        <x:v>待取证</x:v>
      </x:c>
      <x:c r="L24" s="104" t="str"/>
      <x:c r="M24" s="104" t="str"/>
    </x:row>
    <x:row r="25" ht="48" customHeight="1">
      <x:c r="A25" s="100" t="str">
        <x:v>QH-P-000021</x:v>
      </x:c>
      <x:c r="B25" s="100" t="str">
        <x:v>21</x:v>
      </x:c>
      <x:c r="C25" s="100" t="str">
        <x:v>皇帝皇子皇孙公主</x:v>
      </x:c>
      <x:c r="D25" s="100" t="str">
        <x:v>爱新觉罗氏荣宪公主</x:v>
      </x:c>
      <x:c r="E25" s="100" t="str">
        <x:v>皇三女；和硕荣宪公主；固伦荣宪公主</x:v>
      </x:c>
      <x:c r="F25" s="100" t="str">
        <x:v>公主</x:v>
      </x:c>
      <x:c r="G25" s="100" t="str">
        <x:v>P2</x:v>
      </x:c>
      <x:c r="H25" s="100" t="str">
        <x:v>避免皇室库退化为纯男性谱系并测试满蒙婚姻关系</x:v>
      </x:c>
      <x:c r="I25" s="100" t="str">
        <x:v>生母与皇女序齿；和硕至固伦晋封日期及原因；与乌尔衮婚姻和母家网络</x:v>
      </x:c>
      <x:c r="J25" s="100" t="str">
        <x:v>《玉牒》；册封诰命；理藩院蒙古婚姻档；内务府公主档</x:v>
      </x:c>
      <x:c r="K25" s="100" t="str">
        <x:v>待取证</x:v>
      </x:c>
      <x:c r="L25" s="104" t="str"/>
      <x:c r="M25" s="104" t="str"/>
    </x:row>
    <x:row r="26" ht="48" customHeight="1">
      <x:c r="A26" s="100" t="str">
        <x:v>QH-P-000022</x:v>
      </x:c>
      <x:c r="B26" s="100" t="str">
        <x:v>22</x:v>
      </x:c>
      <x:c r="C26" s="100" t="str">
        <x:v>皇太后后妃生母抚养者配偶</x:v>
      </x:c>
      <x:c r="D26" s="100" t="str">
        <x:v>博尔济吉特氏（孝惠章皇后）</x:v>
      </x:c>
      <x:c r="E26" s="100" t="str">
        <x:v>仁宪皇太后；孝惠章皇后</x:v>
      </x:c>
      <x:c r="F26" s="100" t="str">
        <x:v>皇太后及康熙嫡母</x:v>
      </x:c>
      <x:c r="G26" s="100" t="str">
        <x:v>P1</x:v>
      </x:c>
      <x:c r="H26" s="100" t="str">
        <x:v>测试生母嫡母与皇太后的区别</x:v>
      </x:c>
      <x:c r="I26" s="100" t="str">
        <x:v>与玄烨的礼法母子关系；是否及如何抚育胤祺等皇孙；晚年宫廷地位</x:v>
      </x:c>
      <x:c r="J26" s="100" t="str">
        <x:v>册立及上尊号册文；《清圣祖实录》；宫中档；陵寝档</x:v>
      </x:c>
      <x:c r="K26" s="100" t="str">
        <x:v>待取证</x:v>
      </x:c>
      <x:c r="L26" s="104" t="str"/>
      <x:c r="M26" s="104" t="str"/>
    </x:row>
    <x:row r="27" ht="48" customHeight="1">
      <x:c r="A27" s="100" t="str">
        <x:v>QH-P-000023</x:v>
      </x:c>
      <x:c r="B27" s="100" t="str">
        <x:v>23</x:v>
      </x:c>
      <x:c r="C27" s="100" t="str">
        <x:v>皇太后后妃生母抚养者配偶</x:v>
      </x:c>
      <x:c r="D27" s="100" t="str">
        <x:v>赫舍里氏（孝诚仁皇后）</x:v>
      </x:c>
      <x:c r="E27" s="100" t="str">
        <x:v>仁孝皇后；孝诚仁皇后</x:v>
      </x:c>
      <x:c r="F27" s="100" t="str">
        <x:v>皇后及胤礽生母</x:v>
      </x:c>
      <x:c r="G27" s="100" t="str">
        <x:v>P0</x:v>
      </x:c>
      <x:c r="H27" s="100" t="str">
        <x:v>皇太子嫡出身份和索额图网络起点</x:v>
      </x:c>
      <x:c r="I27" s="100" t="str">
        <x:v>生育胤礽时死亡的记录；最初及历次谥号；索额图与她的准确亲属层级</x:v>
      </x:c>
      <x:c r="J27" s="100" t="str">
        <x:v>皇后册文；《清圣祖实录》；《玉牒》；赫舍里氏相关档</x:v>
      </x:c>
      <x:c r="K27" s="100" t="str">
        <x:v>待取证</x:v>
      </x:c>
      <x:c r="L27" s="104" t="str"/>
      <x:c r="M27" s="104" t="str"/>
    </x:row>
    <x:row r="28" ht="48" customHeight="1">
      <x:c r="A28" s="100" t="str">
        <x:v>QH-P-000024</x:v>
      </x:c>
      <x:c r="B28" s="100" t="str">
        <x:v>24</x:v>
      </x:c>
      <x:c r="C28" s="100" t="str">
        <x:v>皇太后后妃生母抚养者配偶</x:v>
      </x:c>
      <x:c r="D28" s="100" t="str">
        <x:v>佟佳氏（孝懿仁皇后）</x:v>
      </x:c>
      <x:c r="E28" s="100" t="str">
        <x:v>皇贵妃佟佳氏；孝懿仁皇后</x:v>
      </x:c>
      <x:c r="F28" s="100" t="str">
        <x:v>皇后及胤禛抚养者候选</x:v>
      </x:c>
      <x:c r="G28" s="100" t="str">
        <x:v>P0</x:v>
      </x:c>
      <x:c r="H28" s="100" t="str">
        <x:v>雍正生母抚养者嫡母三分模型关键</x:v>
      </x:c>
      <x:c r="I28" s="100" t="str">
        <x:v>抚育胤禛的直接证据起止时间及法律含义；册后仅暂的实际程序</x:v>
      </x:c>
      <x:c r="J28" s="100" t="str">
        <x:v>册封皇贵妃皇后册文；《清圣祖实录》；《玉牒》；宫中档</x:v>
      </x:c>
      <x:c r="K28" s="100" t="str">
        <x:v>待取证</x:v>
      </x:c>
      <x:c r="L28" s="104" t="str"/>
      <x:c r="M28" s="104" t="str"/>
    </x:row>
    <x:row r="29" ht="48" customHeight="1">
      <x:c r="A29" s="100" t="str">
        <x:v>QH-P-000025</x:v>
      </x:c>
      <x:c r="B29" s="100" t="str">
        <x:v>25</x:v>
      </x:c>
      <x:c r="C29" s="100" t="str">
        <x:v>皇太后后妃生母抚养者配偶</x:v>
      </x:c>
      <x:c r="D29" s="100" t="str">
        <x:v>乌雅氏（孝恭仁皇后）</x:v>
      </x:c>
      <x:c r="E29" s="100" t="str">
        <x:v>德嫔；德妃；仁寿皇太后</x:v>
      </x:c>
      <x:c r="F29" s="100" t="str">
        <x:v>后妃及胤禛胤禵生母</x:v>
      </x:c>
      <x:c r="G29" s="100" t="str">
        <x:v>P0</x:v>
      </x:c>
      <x:c r="H29" s="100" t="str">
        <x:v>同母兄弟母子关系和尊封争议中心</x:v>
      </x:c>
      <x:c r="I29" s="100" t="str">
        <x:v>所生子女完整清单；德嫔德妃皇太后位号时间；雍正即位后母子冲突叙事原始出处</x:v>
      </x:c>
      <x:c r="J29" s="100" t="str">
        <x:v>册文；《玉牒》；《清圣祖实录》《清世宗实录》；皇太后丧仪档</x:v>
      </x:c>
      <x:c r="K29" s="100" t="str">
        <x:v>待取证</x:v>
      </x:c>
      <x:c r="L29" s="104" t="str"/>
      <x:c r="M29" s="104" t="str"/>
    </x:row>
    <x:row r="30" ht="48" customHeight="1">
      <x:c r="A30" s="100" t="str">
        <x:v>QH-P-000026</x:v>
      </x:c>
      <x:c r="B30" s="100" t="str">
        <x:v>26</x:v>
      </x:c>
      <x:c r="C30" s="100" t="str">
        <x:v>皇太后后妃生母抚养者配偶</x:v>
      </x:c>
      <x:c r="D30" s="100" t="str">
        <x:v>纳喇氏（惠妃）</x:v>
      </x:c>
      <x:c r="E30" s="100" t="str">
        <x:v>叶赫那拉氏；惠嫔；惠妃</x:v>
      </x:c>
      <x:c r="F30" s="100" t="str">
        <x:v>后妃及胤禔生母</x:v>
      </x:c>
      <x:c r="G30" s="100" t="str">
        <x:v>P0</x:v>
      </x:c>
      <x:c r="H30" s="100" t="str">
        <x:v>胤禔生母及胤禩抚养关系候选</x:v>
      </x:c>
      <x:c r="I30" s="100" t="str">
        <x:v>规范氏族写法；是否何时抚育胤禩；胤禔拘禁后母子接触与居住</x:v>
      </x:c>
      <x:c r="J30" s="100" t="str">
        <x:v>册文；《玉牒》；《清圣祖实录》《清世宗实录》；宫中档</x:v>
      </x:c>
      <x:c r="K30" s="100" t="str">
        <x:v>待取证</x:v>
      </x:c>
      <x:c r="L30" s="104" t="str"/>
      <x:c r="M30" s="104" t="str"/>
    </x:row>
    <x:row r="31" ht="48" customHeight="1">
      <x:c r="A31" s="100" t="str">
        <x:v>QH-P-000027</x:v>
      </x:c>
      <x:c r="B31" s="100" t="str">
        <x:v>27</x:v>
      </x:c>
      <x:c r="C31" s="100" t="str">
        <x:v>皇太后后妃生母抚养者配偶</x:v>
      </x:c>
      <x:c r="D31" s="100" t="str">
        <x:v>马佳氏（荣妃）</x:v>
      </x:c>
      <x:c r="E31" s="100" t="str">
        <x:v>荣嫔；荣妃</x:v>
      </x:c>
      <x:c r="F31" s="100" t="str">
        <x:v>后妃及胤祉荣宪公主生母</x:v>
      </x:c>
      <x:c r="G31" s="100" t="str">
        <x:v>P1</x:v>
      </x:c>
      <x:c r="H31" s="100" t="str">
        <x:v>连接皇子公主与高夭折率家庭史</x:v>
      </x:c>
      <x:c r="I31" s="100" t="str">
        <x:v>所生子女及齿序；晋封过程；与胤祉荣宪公主实际往来证据</x:v>
      </x:c>
      <x:c r="J31" s="100" t="str">
        <x:v>册文；《玉牒》；《清圣祖实录》；内务府档</x:v>
      </x:c>
      <x:c r="K31" s="100" t="str">
        <x:v>待取证</x:v>
      </x:c>
      <x:c r="L31" s="104" t="str"/>
      <x:c r="M31" s="104" t="str"/>
    </x:row>
    <x:row r="32" ht="48" customHeight="1">
      <x:c r="A32" s="100" t="str">
        <x:v>QH-P-000028</x:v>
      </x:c>
      <x:c r="B32" s="100" t="str">
        <x:v>28</x:v>
      </x:c>
      <x:c r="C32" s="100" t="str">
        <x:v>皇太后后妃生母抚养者配偶</x:v>
      </x:c>
      <x:c r="D32" s="100" t="str">
        <x:v>郭络罗氏（宜妃）</x:v>
      </x:c>
      <x:c r="E32" s="100" t="str">
        <x:v>宜嫔；宜妃</x:v>
      </x:c>
      <x:c r="F32" s="100" t="str">
        <x:v>后妃及胤祺胤禟生母</x:v>
      </x:c>
      <x:c r="G32" s="100" t="str">
        <x:v>P1</x:v>
      </x:c>
      <x:c r="H32" s="100" t="str">
        <x:v>同母兄弟不同政治命运的核心母节点</x:v>
      </x:c>
      <x:c r="I32" s="100" t="str">
        <x:v>所生子女；康熙崩后礼仪争议原始记录；胤禟被处分后待遇变化</x:v>
      </x:c>
      <x:c r="J32" s="100" t="str">
        <x:v>册文；《玉牒》；《清圣祖实录》《清世宗实录》；宫中礼仪档</x:v>
      </x:c>
      <x:c r="K32" s="100" t="str">
        <x:v>待取证</x:v>
      </x:c>
      <x:c r="L32" s="104" t="str"/>
      <x:c r="M32" s="104" t="str"/>
    </x:row>
    <x:row r="33" ht="48" customHeight="1">
      <x:c r="A33" s="100" t="str">
        <x:v>QH-P-000029</x:v>
      </x:c>
      <x:c r="B33" s="100" t="str">
        <x:v>29</x:v>
      </x:c>
      <x:c r="C33" s="100" t="str">
        <x:v>皇太后后妃生母抚养者配偶</x:v>
      </x:c>
      <x:c r="D33" s="100" t="str">
        <x:v>卫氏（良妃）</x:v>
      </x:c>
      <x:c r="E33" s="100" t="str">
        <x:v>良嫔；良妃；觉禅氏说待核</x:v>
      </x:c>
      <x:c r="F33" s="100" t="str">
        <x:v>后妃及胤禩生母</x:v>
      </x:c>
      <x:c r="G33" s="100" t="str">
        <x:v>P0</x:v>
      </x:c>
      <x:c r="H33" s="100" t="str">
        <x:v>低位生母与皇子政治身份叙事典型</x:v>
      </x:c>
      <x:c r="I33" s="100" t="str">
        <x:v>出身入宫身份和氏族写法；康熙贬抑其出身原话是否存在及语境；封妃与安葬</x:v>
      </x:c>
      <x:c r="J33" s="100" t="str">
        <x:v>册文；《玉牒》；康熙朝内务府档；陵寝档</x:v>
      </x:c>
      <x:c r="K33" s="100" t="str">
        <x:v>待取证</x:v>
      </x:c>
      <x:c r="L33" s="104" t="str"/>
      <x:c r="M33" s="104" t="str"/>
    </x:row>
    <x:row r="34" ht="48" customHeight="1">
      <x:c r="A34" s="100" t="str">
        <x:v>QH-P-000030</x:v>
      </x:c>
      <x:c r="B34" s="100" t="str">
        <x:v>30</x:v>
      </x:c>
      <x:c r="C34" s="100" t="str">
        <x:v>皇太后后妃生母抚养者配偶</x:v>
      </x:c>
      <x:c r="D34" s="100" t="str">
        <x:v>钮祜禄氏（温僖贵妃）</x:v>
      </x:c>
      <x:c r="E34" s="100" t="str">
        <x:v>温僖贵妃</x:v>
      </x:c>
      <x:c r="F34" s="100" t="str">
        <x:v>后妃及胤䄉生母</x:v>
      </x:c>
      <x:c r="G34" s="100" t="str">
        <x:v>P1</x:v>
      </x:c>
      <x:c r="H34" s="100" t="str">
        <x:v>高等级母族与皇子身份对照</x:v>
      </x:c>
      <x:c r="I34" s="100" t="str">
        <x:v>与孝昭仁皇后遏必隆阿灵阿的准确关系；子女与封号时间</x:v>
      </x:c>
      <x:c r="J34" s="100" t="str">
        <x:v>册文；《玉牒》；《清圣祖实录》；丧仪档</x:v>
      </x:c>
      <x:c r="K34" s="100" t="str">
        <x:v>待取证</x:v>
      </x:c>
      <x:c r="L34" s="104" t="str"/>
      <x:c r="M34" s="104" t="str"/>
    </x:row>
    <x:row r="35" ht="48" customHeight="1">
      <x:c r="A35" s="100" t="str">
        <x:v>QH-P-000031</x:v>
      </x:c>
      <x:c r="B35" s="100" t="str">
        <x:v>31</x:v>
      </x:c>
      <x:c r="C35" s="100" t="str">
        <x:v>皇太后后妃生母抚养者配偶</x:v>
      </x:c>
      <x:c r="D35" s="100" t="str">
        <x:v>万琉哈氏（定妃）</x:v>
      </x:c>
      <x:c r="E35" s="100" t="str">
        <x:v>万流哈氏；定嫔；定妃</x:v>
      </x:c>
      <x:c r="F35" s="100" t="str">
        <x:v>后妃及胤祹生母</x:v>
      </x:c>
      <x:c r="G35" s="100" t="str">
        <x:v>P1</x:v>
      </x:c>
      <x:c r="H35" s="100" t="str">
        <x:v>生母与苏麻喇姑抚育角色必须拆分</x:v>
      </x:c>
      <x:c r="I35" s="100" t="str">
        <x:v>姓氏异写；生育和抚养边界；雍正以后出宫随子奉养时间与制度</x:v>
      </x:c>
      <x:c r="J35" s="100" t="str">
        <x:v>《玉牒》；册文；《清圣祖实录》《清世宗实录》；王府奉养档</x:v>
      </x:c>
      <x:c r="K35" s="100" t="str">
        <x:v>待取证</x:v>
      </x:c>
      <x:c r="L35" s="104" t="str"/>
      <x:c r="M35" s="104" t="str"/>
    </x:row>
    <x:row r="36" ht="48" customHeight="1">
      <x:c r="A36" s="100" t="str">
        <x:v>QH-P-000032</x:v>
      </x:c>
      <x:c r="B36" s="100" t="str">
        <x:v>32</x:v>
      </x:c>
      <x:c r="C36" s="100" t="str">
        <x:v>皇太后后妃生母抚养者配偶</x:v>
      </x:c>
      <x:c r="D36" s="100" t="str">
        <x:v>章佳氏（敬敏皇贵妃）</x:v>
      </x:c>
      <x:c r="E36" s="100" t="str">
        <x:v>敏妃；敬敏皇贵妃</x:v>
      </x:c>
      <x:c r="F36" s="100" t="str">
        <x:v>后妃及胤祥生母</x:v>
      </x:c>
      <x:c r="G36" s="100" t="str">
        <x:v>P1</x:v>
      </x:c>
      <x:c r="H36" s="100" t="str">
        <x:v>测试死后多次追尊和陵寝迁改</x:v>
      </x:c>
      <x:c r="I36" s="100" t="str">
        <x:v>生前位号；雍正追尊依据；改葬和祔葬程序；所生子女</x:v>
      </x:c>
      <x:c r="J36" s="100" t="str">
        <x:v>册文；《玉牒》；《清圣祖实录》《清世宗实录》；陵寝档</x:v>
      </x:c>
      <x:c r="K36" s="100" t="str">
        <x:v>待取证</x:v>
      </x:c>
      <x:c r="L36" s="104" t="str"/>
      <x:c r="M36" s="104" t="str"/>
    </x:row>
    <x:row r="37" ht="48" customHeight="1">
      <x:c r="A37" s="100" t="str">
        <x:v>QH-P-000033</x:v>
      </x:c>
      <x:c r="B37" s="100" t="str">
        <x:v>33</x:v>
      </x:c>
      <x:c r="C37" s="100" t="str">
        <x:v>皇太后后妃生母抚养者配偶</x:v>
      </x:c>
      <x:c r="D37" s="100" t="str">
        <x:v>王氏（顺懿密妃）</x:v>
      </x:c>
      <x:c r="E37" s="100" t="str">
        <x:v>密嫔；密妃</x:v>
      </x:c>
      <x:c r="F37" s="100" t="str">
        <x:v>后妃及胤禄胤祄等生母</x:v>
      </x:c>
      <x:c r="G37" s="100" t="str">
        <x:v>P2</x:v>
      </x:c>
      <x:c r="H37" s="100" t="str">
        <x:v>连接胤禄承继与胤祄事件</x:v>
      </x:c>
      <x:c r="I37" s="100" t="str">
        <x:v>所生皇子清单；密嫔至密妃及后续尊封时间；子女抚育情况</x:v>
      </x:c>
      <x:c r="J37" s="100" t="str">
        <x:v>册文；《玉牒》；宫中档；陵寝档</x:v>
      </x:c>
      <x:c r="K37" s="100" t="str">
        <x:v>待取证</x:v>
      </x:c>
      <x:c r="L37" s="104" t="str"/>
      <x:c r="M37" s="104" t="str"/>
    </x:row>
    <x:row r="38" ht="48" customHeight="1">
      <x:c r="A38" s="100" t="str">
        <x:v>QH-P-000034</x:v>
      </x:c>
      <x:c r="B38" s="100" t="str">
        <x:v>34</x:v>
      </x:c>
      <x:c r="C38" s="100" t="str">
        <x:v>皇太后后妃生母抚养者配偶</x:v>
      </x:c>
      <x:c r="D38" s="100" t="str">
        <x:v>陈氏（纯裕勤妃）</x:v>
      </x:c>
      <x:c r="E38" s="100" t="str">
        <x:v>勤嫔；勤妃</x:v>
      </x:c>
      <x:c r="F38" s="100" t="str">
        <x:v>后妃及胤礼生母</x:v>
      </x:c>
      <x:c r="G38" s="100" t="str">
        <x:v>P2</x:v>
      </x:c>
      <x:c r="H38" s="100" t="str">
        <x:v>覆盖低位后妃在新朝被尊封路径</x:v>
      </x:c>
      <x:c r="I38" s="100" t="str">
        <x:v>生育胤礼记录；康熙朝真实位号；雍正乾隆朝尊封次序</x:v>
      </x:c>
      <x:c r="J38" s="100" t="str">
        <x:v>册文；《玉牒》；《清世宗实录》；陵寝档</x:v>
      </x:c>
      <x:c r="K38" s="100" t="str">
        <x:v>待取证</x:v>
      </x:c>
      <x:c r="L38" s="104" t="str"/>
      <x:c r="M38" s="104" t="str"/>
    </x:row>
    <x:row r="39" ht="48" customHeight="1">
      <x:c r="A39" s="100" t="str">
        <x:v>QH-P-000035</x:v>
      </x:c>
      <x:c r="B39" s="100" t="str">
        <x:v>35</x:v>
      </x:c>
      <x:c r="C39" s="100" t="str">
        <x:v>皇太后后妃生母抚养者配偶</x:v>
      </x:c>
      <x:c r="D39" s="100" t="str">
        <x:v>苏麻喇姑</x:v>
      </x:c>
      <x:c r="E39" s="100" t="str">
        <x:v>苏麻喇；苏茉儿；苏墨尔等异写</x:v>
      </x:c>
      <x:c r="F39" s="100" t="str">
        <x:v>宫廷女性及抚养者</x:v>
      </x:c>
      <x:c r="G39" s="100" t="str">
        <x:v>P1</x:v>
      </x:c>
      <x:c r="H39" s="100" t="str">
        <x:v>宫廷非后妃照护关系核心样本</x:v>
      </x:c>
      <x:c r="I39" s="100" t="str">
        <x:v>与孝庄玄烨胤祹分别是什么关系；老师养母等后世称呼是否符合原始记录；病逝及嫔礼治丧</x:v>
      </x:c>
      <x:c r="J39" s="100" t="str">
        <x:v>内务府满文档中病逝治丧奏折；《清圣祖实录》；允祹相关王府档</x:v>
      </x:c>
      <x:c r="K39" s="100" t="str">
        <x:v>待取证</x:v>
      </x:c>
      <x:c r="L39" s="104" t="str"/>
      <x:c r="M39" s="104" t="str"/>
    </x:row>
    <x:row r="40" ht="48" customHeight="1">
      <x:c r="A40" s="100" t="str">
        <x:v>QH-P-000036</x:v>
      </x:c>
      <x:c r="B40" s="100" t="str">
        <x:v>36</x:v>
      </x:c>
      <x:c r="C40" s="100" t="str">
        <x:v>皇太后后妃生母抚养者配偶</x:v>
      </x:c>
      <x:c r="D40" s="100" t="str">
        <x:v>乌拉那拉氏（孝敬宪皇后）</x:v>
      </x:c>
      <x:c r="E40" s="100" t="str">
        <x:v>嫡福晋；雍正皇后</x:v>
      </x:c>
      <x:c r="F40" s="100" t="str">
        <x:v>皇后及弘晖生母</x:v>
      </x:c>
      <x:c r="G40" s="100" t="str">
        <x:v>P0</x:v>
      </x:c>
      <x:c r="H40" s="100" t="str">
        <x:v>雍正嫡妻与嫡子支系中心</x:v>
      </x:c>
      <x:c r="I40" s="100" t="str">
        <x:v>皇子婚娶日期；嫡福晋到皇后位号变化；弘晖生母身份；死亡及合葬</x:v>
      </x:c>
      <x:c r="J40" s="100" t="str">
        <x:v>皇子婚娶档；雍正元年册后册文；《玉牒》；《清世宗实录》</x:v>
      </x:c>
      <x:c r="K40" s="100" t="str">
        <x:v>待取证</x:v>
      </x:c>
      <x:c r="L40" s="104" t="str"/>
      <x:c r="M40" s="104" t="str"/>
    </x:row>
    <x:row r="41" ht="48" customHeight="1">
      <x:c r="A41" s="100" t="str">
        <x:v>QH-P-000037</x:v>
      </x:c>
      <x:c r="B41" s="100" t="str">
        <x:v>37</x:v>
      </x:c>
      <x:c r="C41" s="100" t="str">
        <x:v>皇太后后妃生母抚养者配偶</x:v>
      </x:c>
      <x:c r="D41" s="100" t="str">
        <x:v>钮祜禄氏（孝圣宪皇后）</x:v>
      </x:c>
      <x:c r="E41" s="100" t="str">
        <x:v>熹妃；熹贵妃；崇庆皇太后</x:v>
      </x:c>
      <x:c r="F41" s="100" t="str">
        <x:v>后妃及弘历生母</x:v>
      </x:c>
      <x:c r="G41" s="100" t="str">
        <x:v>P0</x:v>
      </x:c>
      <x:c r="H41" s="100" t="str">
        <x:v>乾隆继承与母族叙事核心</x:v>
      </x:c>
      <x:c r="I41" s="100" t="str">
        <x:v>入雍亲王府身份；弘历出生记录；熹妃熹贵妃位号是否有版本问题；凌柱家世</x:v>
      </x:c>
      <x:c r="J41" s="100" t="str">
        <x:v>《玉牒》；雍正朝册文；《清世宗实录》；内务府档</x:v>
      </x:c>
      <x:c r="K41" s="100" t="str">
        <x:v>待取证</x:v>
      </x:c>
      <x:c r="L41" s="104" t="str"/>
      <x:c r="M41" s="104" t="str"/>
    </x:row>
    <x:row r="42" ht="48" customHeight="1">
      <x:c r="A42" s="100" t="str">
        <x:v>QH-P-000038</x:v>
      </x:c>
      <x:c r="B42" s="100" t="str">
        <x:v>38</x:v>
      </x:c>
      <x:c r="C42" s="100" t="str">
        <x:v>皇太后后妃生母抚养者配偶</x:v>
      </x:c>
      <x:c r="D42" s="100" t="str">
        <x:v>年氏（敦肃皇贵妃）</x:v>
      </x:c>
      <x:c r="E42" s="100" t="str">
        <x:v>年侧福晋；年贵妃</x:v>
      </x:c>
      <x:c r="F42" s="100" t="str">
        <x:v>后妃及年羹尧之妹</x:v>
      </x:c>
      <x:c r="G42" s="100" t="str">
        <x:v>P0</x:v>
      </x:c>
      <x:c r="H42" s="100" t="str">
        <x:v>后宫关系与外廷权力不能简单因果化样本</x:v>
      </x:c>
      <x:c r="I42" s="100" t="str">
        <x:v>入府和册封时间；所生子女；死亡追封与年羹尧获罪先后关系</x:v>
      </x:c>
      <x:c r="J42" s="100" t="str">
        <x:v>皇子婚娶档；册贵妃皇贵妃文；《清世宗实录》；年氏家族档</x:v>
      </x:c>
      <x:c r="K42" s="100" t="str">
        <x:v>待取证</x:v>
      </x:c>
      <x:c r="L42" s="104" t="str"/>
      <x:c r="M42" s="104" t="str"/>
    </x:row>
    <x:row r="43" ht="48" customHeight="1">
      <x:c r="A43" s="100" t="str">
        <x:v>QH-P-000039</x:v>
      </x:c>
      <x:c r="B43" s="100" t="str">
        <x:v>39</x:v>
      </x:c>
      <x:c r="C43" s="100" t="str">
        <x:v>皇太后后妃生母抚养者配偶</x:v>
      </x:c>
      <x:c r="D43" s="100" t="str">
        <x:v>李氏（齐妃）</x:v>
      </x:c>
      <x:c r="E43" s="100" t="str">
        <x:v>李侧福晋；齐妃</x:v>
      </x:c>
      <x:c r="F43" s="100" t="str">
        <x:v>后妃及弘时生母</x:v>
      </x:c>
      <x:c r="G43" s="100" t="str">
        <x:v>P1</x:v>
      </x:c>
      <x:c r="H43" s="100" t="str">
        <x:v>弘时处分对母亲地位影响检验样本</x:v>
      </x:c>
      <x:c r="I43" s="100" t="str">
        <x:v>入府身份；所生子女；册妃过程；弘时失势后待遇是否改变</x:v>
      </x:c>
      <x:c r="J43" s="100" t="str">
        <x:v>《玉牒》；册文；《清世宗实录》；宗人府弘时档</x:v>
      </x:c>
      <x:c r="K43" s="100" t="str">
        <x:v>待取证</x:v>
      </x:c>
      <x:c r="L43" s="104" t="str"/>
      <x:c r="M43" s="104" t="str"/>
    </x:row>
    <x:row r="44" ht="48" customHeight="1">
      <x:c r="A44" s="100" t="str">
        <x:v>QH-P-000040</x:v>
      </x:c>
      <x:c r="B44" s="100" t="str">
        <x:v>40</x:v>
      </x:c>
      <x:c r="C44" s="100" t="str">
        <x:v>皇太后后妃生母抚养者配偶</x:v>
      </x:c>
      <x:c r="D44" s="100" t="str">
        <x:v>耿氏（后谥纯懿皇贵妃）</x:v>
      </x:c>
      <x:c r="E44" s="100" t="str">
        <x:v>耿格格；裕嫔；裕妃</x:v>
      </x:c>
      <x:c r="F44" s="100" t="str">
        <x:v>后妃及弘昼生母</x:v>
      </x:c>
      <x:c r="G44" s="100" t="str">
        <x:v>P1</x:v>
      </x:c>
      <x:c r="H44" s="100" t="str">
        <x:v>与钮祜禄氏并列的藩邸低位女性晋升对照</x:v>
      </x:c>
      <x:c r="I44" s="100" t="str">
        <x:v>入府身份；弘昼生母记录；裕嫔裕妃及后世尊封逐次日期</x:v>
      </x:c>
      <x:c r="J44" s="100" t="str">
        <x:v>《玉牒》；册文；《清世宗实录》；内务府档</x:v>
      </x:c>
      <x:c r="K44" s="100" t="str">
        <x:v>待取证</x:v>
      </x:c>
      <x:c r="L44" s="104" t="str"/>
      <x:c r="M44" s="104" t="str"/>
    </x:row>
    <x:row r="45" ht="48" customHeight="1">
      <x:c r="A45" s="100" t="str">
        <x:v>QH-P-000041</x:v>
      </x:c>
      <x:c r="B45" s="100" t="str">
        <x:v>41</x:v>
      </x:c>
      <x:c r="C45" s="100" t="str">
        <x:v>皇太后后妃生母抚养者配偶</x:v>
      </x:c>
      <x:c r="D45" s="100" t="str">
        <x:v>瓜尔佳氏（胤礽嫡福晋）</x:v>
      </x:c>
      <x:c r="E45" s="100" t="str">
        <x:v>石氏；皇太子妃</x:v>
      </x:c>
      <x:c r="F45" s="100" t="str">
        <x:v>皇子配偶及太子妃</x:v>
      </x:c>
      <x:c r="G45" s="100" t="str">
        <x:v>P0</x:v>
      </x:c>
      <x:c r="H45" s="100" t="str">
        <x:v>测试废储前后配偶位号及太子家内嫡庶</x:v>
      </x:c>
      <x:c r="I45" s="100" t="str">
        <x:v>石文炳之女身份；正式册立程序；所生子女；胤礽两度被废后称号和待遇</x:v>
      </x:c>
      <x:c r="J45" s="100" t="str">
        <x:v>《玉牒》；皇太子妃册文；《清圣祖实录》；皇子婚娶档</x:v>
      </x:c>
      <x:c r="K45" s="100" t="str">
        <x:v>待取证</x:v>
      </x:c>
      <x:c r="L45" s="104" t="str"/>
      <x:c r="M45" s="104" t="str"/>
    </x:row>
    <x:row r="46" ht="48" customHeight="1">
      <x:c r="A46" s="100" t="str">
        <x:v>QH-P-000042</x:v>
      </x:c>
      <x:c r="B46" s="100" t="str">
        <x:v>42</x:v>
      </x:c>
      <x:c r="C46" s="100" t="str">
        <x:v>皇太后后妃生母抚养者配偶</x:v>
      </x:c>
      <x:c r="D46" s="100" t="str">
        <x:v>李佳氏（胤礽侧室）</x:v>
      </x:c>
      <x:c r="E46" s="100" t="str">
        <x:v>侧福晋李佳氏；弘晳生母</x:v>
      </x:c>
      <x:c r="F46" s="100" t="str">
        <x:v>皇子配偶及皇孙生母</x:v>
      </x:c>
      <x:c r="G46" s="100" t="str">
        <x:v>P0</x:v>
      </x:c>
      <x:c r="H46" s="100" t="str">
        <x:v>弘晳血缘与废太子家内结构关键节点</x:v>
      </x:c>
      <x:c r="I46" s="100" t="str">
        <x:v>入府身份和正式位号；所生子女；弘晳生母关系；雍正朝住所和待遇</x:v>
      </x:c>
      <x:c r="J46" s="100" t="str">
        <x:v>不同年份《玉牒》；宗人府内务府档；郑家庄档</x:v>
      </x:c>
      <x:c r="K46" s="100" t="str">
        <x:v>待取证</x:v>
      </x:c>
      <x:c r="L46" s="104" t="str"/>
      <x:c r="M46" s="104" t="str"/>
    </x:row>
    <x:row r="47" ht="48" customHeight="1">
      <x:c r="A47" s="100" t="str">
        <x:v>QH-P-000043</x:v>
      </x:c>
      <x:c r="B47" s="100" t="str">
        <x:v>43</x:v>
      </x:c>
      <x:c r="C47" s="100" t="str">
        <x:v>皇太后后妃生母抚养者配偶</x:v>
      </x:c>
      <x:c r="D47" s="100" t="str">
        <x:v>郭络罗氏（胤禩嫡福晋）</x:v>
      </x:c>
      <x:c r="E47" s="100" t="str">
        <x:v>八福晋；廉亲王福晋</x:v>
      </x:c>
      <x:c r="F47" s="100" t="str">
        <x:v>皇子配偶</x:v>
      </x:c>
      <x:c r="G47" s="100" t="str">
        <x:v>P0</x:v>
      </x:c>
      <x:c r="H47" s="100" t="str">
        <x:v>少数直接进入政治处分文本的皇子配偶</x:v>
      </x:c>
      <x:c r="I47" s="100" t="str">
        <x:v>与安亲王岳乐准确亲属链；婚期；雍正四年休妻死亡及遗骸处置各版本；操控胤禩说来源</x:v>
      </x:c>
      <x:c r="J47" s="100" t="str">
        <x:v>《玉牒》；皇子婚娶档；《清世宗实录》雍正四年；宗人府审讯处分档</x:v>
      </x:c>
      <x:c r="K47" s="100" t="str">
        <x:v>待取证</x:v>
      </x:c>
      <x:c r="L47" s="104" t="str"/>
      <x:c r="M47" s="104" t="str"/>
    </x:row>
    <x:row r="48" ht="48" customHeight="1">
      <x:c r="A48" s="100" t="str">
        <x:v>QH-P-000044</x:v>
      </x:c>
      <x:c r="B48" s="100" t="str">
        <x:v>44</x:v>
      </x:c>
      <x:c r="C48" s="100" t="str">
        <x:v>皇太后后妃生母抚养者配偶</x:v>
      </x:c>
      <x:c r="D48" s="100" t="str">
        <x:v>兆佳氏（胤祥嫡福晋）</x:v>
      </x:c>
      <x:c r="E48" s="100" t="str">
        <x:v>怡亲王嫡福晋</x:v>
      </x:c>
      <x:c r="F48" s="100" t="str">
        <x:v>皇子配偶</x:v>
      </x:c>
      <x:c r="G48" s="100" t="str">
        <x:v>P1</x:v>
      </x:c>
      <x:c r="H48" s="100" t="str">
        <x:v>补足雍正核心盟友王府家庭和继嗣结构</x:v>
      </x:c>
      <x:c r="I48" s="100" t="str">
        <x:v>婚期所生子女和嫡庶；胤祥死后王府承继册封与丧祭安排</x:v>
      </x:c>
      <x:c r="J48" s="100" t="str">
        <x:v>《玉牒》；皇子婚娶档；怡亲王府档；册封及丧祭档</x:v>
      </x:c>
      <x:c r="K48" s="100" t="str">
        <x:v>待取证</x:v>
      </x:c>
      <x:c r="L48" s="104" t="str"/>
      <x:c r="M48" s="104" t="str"/>
    </x:row>
    <x:row r="49" ht="48" customHeight="1">
      <x:c r="A49" s="100" t="str">
        <x:v>QH-P-000045</x:v>
      </x:c>
      <x:c r="B49" s="100" t="str">
        <x:v>45</x:v>
      </x:c>
      <x:c r="C49" s="100" t="str">
        <x:v>外戚大臣政治网络</x:v>
      </x:c>
      <x:c r="D49" s="100" t="str">
        <x:v>赫舍里·索额图</x:v>
      </x:c>
      <x:c r="E49" s="100" t="str">
        <x:v>索额图</x:v>
      </x:c>
      <x:c r="F49" s="100" t="str">
        <x:v>外戚及大臣</x:v>
      </x:c>
      <x:c r="G49" s="100" t="str">
        <x:v>P0</x:v>
      </x:c>
      <x:c r="H49" s="100" t="str">
        <x:v>皇太子早期母族与政治网络代表</x:v>
      </x:c>
      <x:c r="I49" s="100" t="str">
        <x:v>与孝诚仁皇后准确亲属层级；协助太子与结党指控证据；康熙四十二年处置和死亡</x:v>
      </x:c>
      <x:c r="J49" s="100" t="str">
        <x:v>《清圣祖实录》；康熙朝满汉奏折；两皇子密奏；内阁大库档</x:v>
      </x:c>
      <x:c r="K49" s="100" t="str">
        <x:v>待取证</x:v>
      </x:c>
      <x:c r="L49" s="104" t="str"/>
      <x:c r="M49" s="104" t="str"/>
    </x:row>
    <x:row r="50" ht="48" customHeight="1">
      <x:c r="A50" s="100" t="str">
        <x:v>QH-P-000046</x:v>
      </x:c>
      <x:c r="B50" s="100" t="str">
        <x:v>46</x:v>
      </x:c>
      <x:c r="C50" s="100" t="str">
        <x:v>外戚大臣政治网络</x:v>
      </x:c>
      <x:c r="D50" s="100" t="str">
        <x:v>佟佳·佟国维</x:v>
      </x:c>
      <x:c r="E50" s="100" t="str">
        <x:v>佟国维；一等公</x:v>
      </x:c>
      <x:c r="F50" s="100" t="str">
        <x:v>外戚及大臣</x:v>
      </x:c>
      <x:c r="G50" s="100" t="str">
        <x:v>P0</x:v>
      </x:c>
      <x:c r="H50" s="100" t="str">
        <x:v>连接孝懿仁皇后隆科多与胤禩推举案</x:v>
      </x:c>
      <x:c r="I50" s="100" t="str">
        <x:v>与胤禛究竟是血亲抚养亲还是政治姻亲；康熙四十七年推荐胤禩程序与责任</x:v>
      </x:c>
      <x:c r="J50" s="100" t="str">
        <x:v>《清圣祖实录》康熙四十七年；上谕档；内阁大库档；佟氏家族档</x:v>
      </x:c>
      <x:c r="K50" s="100" t="str">
        <x:v>待取证</x:v>
      </x:c>
      <x:c r="L50" s="104" t="str"/>
      <x:c r="M50" s="104" t="str"/>
    </x:row>
    <x:row r="51" ht="48" customHeight="1">
      <x:c r="A51" s="100" t="str">
        <x:v>QH-P-000047</x:v>
      </x:c>
      <x:c r="B51" s="100" t="str">
        <x:v>47</x:v>
      </x:c>
      <x:c r="C51" s="100" t="str">
        <x:v>外戚大臣政治网络</x:v>
      </x:c>
      <x:c r="D51" s="100" t="str">
        <x:v>富察·马齐</x:v>
      </x:c>
      <x:c r="E51" s="100" t="str">
        <x:v>马齐；大学士马齐</x:v>
      </x:c>
      <x:c r="F51" s="100" t="str">
        <x:v>大臣</x:v>
      </x:c>
      <x:c r="G51" s="100" t="str">
        <x:v>P0</x:v>
      </x:c>
      <x:c r="H51" s="100" t="str">
        <x:v>百官举荐胤禩事件的制度执行者</x:v>
      </x:c>
      <x:c r="I51" s="100" t="str">
        <x:v>谁发起并如何组织推荐；马齐个人意见与集体结果能否区分；受罚复用时间线</x:v>
      </x:c>
      <x:c r="J51" s="100" t="str">
        <x:v>《清圣祖实录》康熙四十七年前后；满汉奏折；内阁档；《清世宗实录》</x:v>
      </x:c>
      <x:c r="K51" s="100" t="str">
        <x:v>待取证</x:v>
      </x:c>
      <x:c r="L51" s="104" t="str"/>
      <x:c r="M51" s="104" t="str"/>
    </x:row>
    <x:row r="52" ht="48" customHeight="1">
      <x:c r="A52" s="100" t="str">
        <x:v>QH-P-000048</x:v>
      </x:c>
      <x:c r="B52" s="100" t="str">
        <x:v>48</x:v>
      </x:c>
      <x:c r="C52" s="100" t="str">
        <x:v>外戚大臣政治网络</x:v>
      </x:c>
      <x:c r="D52" s="100" t="str">
        <x:v>佟佳·隆科多</x:v>
      </x:c>
      <x:c r="E52" s="100" t="str">
        <x:v>隆科多；舅舅隆科多</x:v>
      </x:c>
      <x:c r="F52" s="100" t="str">
        <x:v>外戚及大臣</x:v>
      </x:c>
      <x:c r="G52" s="100" t="str">
        <x:v>P0</x:v>
      </x:c>
      <x:c r="H52" s="100" t="str">
        <x:v>康熙临终传谕和雍正即位程序第一关键证人</x:v>
      </x:c>
      <x:c r="I52" s="100" t="str">
        <x:v>是否在畅春园现场；传谕原文和受命顺序；舅舅称谓礼法含义；掌权获罪审判</x:v>
      </x:c>
      <x:c r="J52" s="100" t="str">
        <x:v>康熙遗诏满汉本；《清圣祖实录》卷末；《清世宗实录》；隆科多案档</x:v>
      </x:c>
      <x:c r="K52" s="100" t="str">
        <x:v>待取证</x:v>
      </x:c>
      <x:c r="L52" s="104" t="str"/>
      <x:c r="M52" s="104" t="str"/>
    </x:row>
    <x:row r="53" ht="48" customHeight="1">
      <x:c r="A53" s="100" t="str">
        <x:v>QH-P-000049</x:v>
      </x:c>
      <x:c r="B53" s="100" t="str">
        <x:v>49</x:v>
      </x:c>
      <x:c r="C53" s="100" t="str">
        <x:v>外戚大臣政治网络</x:v>
      </x:c>
      <x:c r="D53" s="100" t="str">
        <x:v>年羹尧</x:v>
      </x:c>
      <x:c r="E53" s="100" t="str">
        <x:v>年大将军；川陕总督；抚远大将军</x:v>
      </x:c>
      <x:c r="F53" s="100" t="str">
        <x:v>外戚及大臣</x:v>
      </x:c>
      <x:c r="G53" s="100" t="str">
        <x:v>P0</x:v>
      </x:c>
      <x:c r="H53" s="100" t="str">
        <x:v>雍正早期军政权力与婚姻关系交叉节点</x:v>
      </x:c>
      <x:c r="I53" s="100" t="str">
        <x:v>与胤禛藩邸期真实关系；西北军权形成；与年氏受宠是否有直接因果；获罪过程</x:v>
      </x:c>
      <x:c r="J53" s="100" t="str">
        <x:v>年羹尧满汉奏折；《雍正朱批谕旨》；《清世宗实录》；年羹尧案档</x:v>
      </x:c>
      <x:c r="K53" s="100" t="str">
        <x:v>待取证</x:v>
      </x:c>
      <x:c r="L53" s="104" t="str"/>
      <x:c r="M53" s="104" t="str"/>
    </x:row>
    <x:row r="54" ht="48" customHeight="1">
      <x:c r="A54" s="100" t="str">
        <x:v>QH-P-000050</x:v>
      </x:c>
      <x:c r="B54" s="100" t="str">
        <x:v>50</x:v>
      </x:c>
      <x:c r="C54" s="100" t="str">
        <x:v>外戚大臣政治网络</x:v>
      </x:c>
      <x:c r="D54" s="100" t="str">
        <x:v>托合齐</x:v>
      </x:c>
      <x:c r="E54" s="100" t="str">
        <x:v>步军统领托合齐</x:v>
      </x:c>
      <x:c r="F54" s="100" t="str">
        <x:v>大臣及太子网络人物</x:v>
      </x:c>
      <x:c r="G54" s="100" t="str">
        <x:v>P1</x:v>
      </x:c>
      <x:c r="H54" s="100" t="str">
        <x:v>补足索额图死后太子政治网络与第二次废储前史</x:v>
      </x:c>
      <x:c r="I54" s="100" t="str">
        <x:v>康熙五十年前后宴会案参与者指控和审判；与胤礽可证实关系；处死方式与家属处分</x:v>
      </x:c>
      <x:c r="J54" s="100" t="str">
        <x:v>《清圣祖实录》康熙五十年前后；刑部内阁案件档；皇太子相关奏折</x:v>
      </x:c>
      <x:c r="K54" s="100" t="str">
        <x:v>待取证</x:v>
      </x:c>
      <x:c r="L54" s="104" t="str"/>
      <x:c r="M54" s="104" t="str"/>
    </x:row>
  </x:sheetData>
  <x:mergeCells>
    <x:mergeCell ref="A1:M1"/>
    <x:mergeCell ref="A2:M2"/>
  </x:mergeCells>
  <x:conditionalFormatting sqref="G5:G54">
    <x:cfRule type="containsText" dxfId="34" priority="1" operator="containsText" text="P0"/>
    <x:cfRule type="containsText" dxfId="35" priority="2" operator="containsText" text="P1"/>
    <x:cfRule type="containsText" dxfId="36" priority="3" operator="containsText" text="P2"/>
  </x:conditionalFormatting>
  <x:conditionalFormatting sqref="K5:K54">
    <x:cfRule type="containsText" dxfId="37" priority="4" operator="containsText" text="已完成"/>
    <x:cfRule type="containsText" dxfId="38" priority="5" operator="containsText" text="已通过"/>
    <x:cfRule type="containsText" dxfId="39" priority="6" operator="containsText" text="进行中"/>
    <x:cfRule type="containsText" dxfId="40" priority="7" operator="containsText" text="待审核"/>
    <x:cfRule type="containsText" dxfId="41" priority="8" operator="containsText" text="阻塞"/>
  </x:conditionalFormatting>
  <x:dataValidations count="2">
    <x:dataValidation type="list" sqref="G5:G54">
      <x:formula1>"P0,P1,P2"</x:formula1>
    </x:dataValidation>
    <x:dataValidation type="list" sqref="K5:K54">
      <x:formula1>"待取证,取证中,待审核,已核验,阻塞"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c3c9ebcf8844b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0" hidden="0" customWidth="1"/>
    <x:col min="5" max="5" width="38" hidden="0" customWidth="1"/>
    <x:col min="6" max="6" width="24" hidden="0" customWidth="1"/>
    <x:col min="7" max="7" width="10" hidden="0" customWidth="1"/>
    <x:col min="8" max="8" width="22" hidden="0" customWidth="1"/>
    <x:col min="9" max="9" width="24" hidden="0" customWidth="1"/>
    <x:col min="10" max="10" width="22" hidden="0" customWidth="1"/>
    <x:col min="11" max="11" width="18" hidden="0" customWidth="1"/>
    <x:col min="12" max="12" width="44" hidden="0" customWidth="1"/>
    <x:col min="13" max="13" width="46" hidden="0" customWidth="1"/>
    <x:col min="14" max="14" width="48" hidden="0" customWidth="1"/>
    <x:col min="15" max="15" width="48" hidden="0" customWidth="1"/>
    <x:col min="16" max="16" width="13" hidden="0" customWidth="1"/>
    <x:col min="17" max="17" width="38" hidden="0" customWidth="1"/>
    <x:col min="18" max="18" width="14" hidden="0" customWidth="1"/>
    <x:col min="19" max="19" width="16" hidden="0" customWidth="1"/>
  </x:cols>
  <x:sheetData>
    <x:row r="1" ht="34" customHeight="1">
      <x:c r="A1" s="3" t="str">
        <x:v>来源与版权台账</x:v>
      </x:c>
    </x:row>
    <x:row r="2" ht="24" customHeight="1">
      <x:c r="A2" s="6" t="str">
        <x:v>绿色仅表示明确纳入开放许可或已授权的对象；黄色默认只存自建元数据并外链；红色不得按计划获取或展示</x:v>
      </x:c>
    </x:row>
    <x:row r="4" ht="32" customHeight="1">
      <x:c r="A4" s="92" t="str">
        <x:v>source_id</x:v>
      </x:c>
      <x:c r="B4" s="93" t="str">
        <x:v>机构或资源</x:v>
      </x:c>
      <x:c r="C4" s="93" t="str">
        <x:v>资源类型</x:v>
      </x:c>
      <x:c r="D4" s="93" t="str">
        <x:v>证据等级</x:v>
      </x:c>
      <x:c r="E4" s="93" t="str">
        <x:v>核心内容</x:v>
      </x:c>
      <x:c r="F4" s="93" t="str">
        <x:v>访问方式</x:v>
      </x:c>
      <x:c r="G4" s="93" t="str">
        <x:v>权利颜色</x:v>
      </x:c>
      <x:c r="H4" s="93" t="str">
        <x:v>可本地保存</x:v>
      </x:c>
      <x:c r="I4" s="93" t="str">
        <x:v>可公开展示</x:v>
      </x:c>
      <x:c r="J4" s="93" t="str">
        <x:v>可商业使用</x:v>
      </x:c>
      <x:c r="K4" s="93" t="str">
        <x:v>可模型训练</x:v>
      </x:c>
      <x:c r="L4" s="93" t="str">
        <x:v>使用策略</x:v>
      </x:c>
      <x:c r="M4" s="93" t="str">
        <x:v>限制摘要</x:v>
      </x:c>
      <x:c r="N4" s="93" t="str">
        <x:v>资源网址</x:v>
      </x:c>
      <x:c r="O4" s="93" t="str">
        <x:v>权利或规则网址</x:v>
      </x:c>
      <x:c r="P4" s="93" t="str">
        <x:v>核查日期</x:v>
      </x:c>
      <x:c r="Q4" s="93" t="str">
        <x:v>下一动作</x:v>
      </x:c>
      <x:c r="R4" s="93" t="str">
        <x:v>责任角色</x:v>
      </x:c>
      <x:c r="S4" s="94" t="str">
        <x:v>状态</x:v>
      </x:c>
    </x:row>
    <x:row r="5" ht="52" customHeight="1">
      <x:c r="A5" s="99" t="str">
        <x:v>SRC-001</x:v>
      </x:c>
      <x:c r="B5" s="99" t="str">
        <x:v>中国第一历史档案馆馆藏档案目录</x:v>
      </x:c>
      <x:c r="C5" s="99" t="str">
        <x:v>原始档案目录</x:v>
      </x:c>
      <x:c r="D5" s="99" t="str">
        <x:v>A1</x:v>
      </x:c>
      <x:c r="E5" s="99" t="str">
        <x:v>清代中央国家机关及宫廷档案目录</x:v>
      </x:c>
      <x:c r="F5" s="99" t="str">
        <x:v>线上检索与预约到馆</x:v>
      </x:c>
      <x:c r="G5" s="99" t="str">
        <x:v>黄</x:v>
      </x:c>
      <x:c r="H5" s="99" t="str">
        <x:v>仅保存自建元数据与研究笔记</x:v>
      </x:c>
      <x:c r="I5" s="99" t="str">
        <x:v>仅展示自建元数据并外链</x:v>
      </x:c>
      <x:c r="J5" s="99" t="str">
        <x:v>待逐项授权</x:v>
      </x:c>
      <x:c r="K5" s="99" t="str">
        <x:v>否</x:v>
      </x:c>
      <x:c r="L5" s="99" t="str">
        <x:v>目录发现与档号核验</x:v>
      </x:c>
      <x:c r="M5" s="99" t="str">
        <x:v>网上可查不等于原档图像可复制再发布</x:v>
      </x:c>
      <x:c r="N5" s="99" t="str">
        <x:v>https://fhac.com.cn/consult.html</x:v>
      </x:c>
      <x:c r="O5" s="99" t="str">
        <x:v>https://fhac.com.cn/</x:v>
      </x:c>
      <x:c r="P5" s="99" t="str">
        <x:v>2026-08-12</x:v>
      </x:c>
      <x:c r="Q5" s="103" t="str">
        <x:v>确认康熙晚年至雍正初年相关全宗与档号</x:v>
      </x:c>
      <x:c r="R5" s="103" t="str">
        <x:v>AI</x:v>
      </x:c>
      <x:c r="S5" s="103" t="str">
        <x:v>已核查</x:v>
      </x:c>
    </x:row>
    <x:row r="6" ht="52" customHeight="1">
      <x:c r="A6" s="100" t="str">
        <x:v>SRC-002</x:v>
      </x:c>
      <x:c r="B6" s="100" t="str">
        <x:v>中国第一历史档案馆清实录全文检索</x:v>
      </x:c>
      <x:c r="C6" s="100" t="str">
        <x:v>官修编年史数字文本</x:v>
      </x:c>
      <x:c r="D6" s="100" t="str">
        <x:v>A2</x:v>
      </x:c>
      <x:c r="E6" s="100" t="str">
        <x:v>《清实录》全文检索</x:v>
      </x:c>
      <x:c r="F6" s="100" t="str">
        <x:v>线上免费检索</x:v>
      </x:c>
      <x:c r="G6" s="100" t="str">
        <x:v>黄</x:v>
      </x:c>
      <x:c r="H6" s="100" t="str">
        <x:v>仅保存必要引文定位与自建标注</x:v>
      </x:c>
      <x:c r="I6" s="100" t="str">
        <x:v>小段合理引文并链接原站</x:v>
      </x:c>
      <x:c r="J6" s="100" t="str">
        <x:v>待核权</x:v>
      </x:c>
      <x:c r="K6" s="100" t="str">
        <x:v>否</x:v>
      </x:c>
      <x:c r="L6" s="100" t="str">
        <x:v>用作检索入口并回查版本</x:v>
      </x:c>
      <x:c r="M6" s="100" t="str">
        <x:v>免费检索不等于允许整库镜像或再发布全文</x:v>
      </x:c>
      <x:c r="N6" s="100" t="str">
        <x:v>https://fhac.com.cn/search_fulltexts.html</x:v>
      </x:c>
      <x:c r="O6" s="100" t="str">
        <x:v>https://fhac.com.cn/</x:v>
      </x:c>
      <x:c r="P6" s="100" t="str">
        <x:v>2026-08-12</x:v>
      </x:c>
      <x:c r="Q6" s="104" t="str">
        <x:v>登记所用版本与卷页定位规则</x:v>
      </x:c>
      <x:c r="R6" s="104" t="str">
        <x:v>AI</x:v>
      </x:c>
      <x:c r="S6" s="104" t="str">
        <x:v>已核查</x:v>
      </x:c>
    </x:row>
    <x:row r="7" ht="52" customHeight="1">
      <x:c r="A7" s="100" t="str">
        <x:v>SRC-003</x:v>
      </x:c>
      <x:c r="B7" s="100" t="str">
        <x:v>中国第一历史档案馆清会典全文检索</x:v>
      </x:c>
      <x:c r="C7" s="100" t="str">
        <x:v>官修制度文献数字文本</x:v>
      </x:c>
      <x:c r="D7" s="100" t="str">
        <x:v>A2</x:v>
      </x:c>
      <x:c r="E7" s="100" t="str">
        <x:v>《清会典》全文检索</x:v>
      </x:c>
      <x:c r="F7" s="100" t="str">
        <x:v>线上免费检索</x:v>
      </x:c>
      <x:c r="G7" s="100" t="str">
        <x:v>黄</x:v>
      </x:c>
      <x:c r="H7" s="100" t="str">
        <x:v>仅保存必要引文定位与自建标注</x:v>
      </x:c>
      <x:c r="I7" s="100" t="str">
        <x:v>小段合理引文并链接原站</x:v>
      </x:c>
      <x:c r="J7" s="100" t="str">
        <x:v>待核权</x:v>
      </x:c>
      <x:c r="K7" s="100" t="str">
        <x:v>否</x:v>
      </x:c>
      <x:c r="L7" s="100" t="str">
        <x:v>用于制度名物与职官核验</x:v>
      </x:c>
      <x:c r="M7" s="100" t="str">
        <x:v>免费检索不等于允许整库镜像或再发布全文</x:v>
      </x:c>
      <x:c r="N7" s="100" t="str">
        <x:v>https://fhac.com.cn/search_fulltexts.html</x:v>
      </x:c>
      <x:c r="O7" s="100" t="str">
        <x:v>https://fhac.com.cn/</x:v>
      </x:c>
      <x:c r="P7" s="100" t="str">
        <x:v>2026-08-12</x:v>
      </x:c>
      <x:c r="Q7" s="104" t="str">
        <x:v>建立版本与条目定位模板</x:v>
      </x:c>
      <x:c r="R7" s="104" t="str">
        <x:v>ME</x:v>
      </x:c>
      <x:c r="S7" s="104" t="str">
        <x:v>已核查</x:v>
      </x:c>
    </x:row>
    <x:row r="8" ht="52" customHeight="1">
      <x:c r="A8" s="100" t="str">
        <x:v>SRC-004</x:v>
      </x:c>
      <x:c r="B8" s="100" t="str">
        <x:v>中国第一历史档案馆查档预约与阅览规则</x:v>
      </x:c>
      <x:c r="C8" s="100" t="str">
        <x:v>访问规则</x:v>
      </x:c>
      <x:c r="D8" s="100" t="str">
        <x:v>A1</x:v>
      </x:c>
      <x:c r="E8" s="100" t="str">
        <x:v>原档调阅与数字档案阅览限制</x:v>
      </x:c>
      <x:c r="F8" s="100" t="str">
        <x:v>官网说明与现场规则</x:v>
      </x:c>
      <x:c r="G8" s="100" t="str">
        <x:v>红</x:v>
      </x:c>
      <x:c r="H8" s="100" t="str">
        <x:v>否</x:v>
      </x:c>
      <x:c r="I8" s="100" t="str">
        <x:v>否</x:v>
      </x:c>
      <x:c r="J8" s="100" t="str">
        <x:v>否</x:v>
      </x:c>
      <x:c r="K8" s="100" t="str">
        <x:v>否</x:v>
      </x:c>
      <x:c r="L8" s="100" t="str">
        <x:v>只登记规则不抓取影像</x:v>
      </x:c>
      <x:c r="M8" s="100" t="str">
        <x:v>数字档案现场阅览存在禁止拍摄等限制；必须以馆方当次规则为准</x:v>
      </x:c>
      <x:c r="N8" s="100" t="str">
        <x:v>https://fhac.com.cn/detail/1308.html</x:v>
      </x:c>
      <x:c r="O8" s="100" t="str">
        <x:v>https://fhac.com.cn/detail/1308.html</x:v>
      </x:c>
      <x:c r="P8" s="100" t="str">
        <x:v>2026-08-12</x:v>
      </x:c>
      <x:c r="Q8" s="104" t="str">
        <x:v>由版权负责人书面确认项目取证方式</x:v>
      </x:c>
      <x:c r="R8" s="104" t="str">
        <x:v>RM</x:v>
      </x:c>
      <x:c r="S8" s="104" t="str">
        <x:v>待书面确认</x:v>
      </x:c>
    </x:row>
    <x:row r="9" ht="52" customHeight="1">
      <x:c r="A9" s="100" t="str">
        <x:v>SRC-005</x:v>
      </x:c>
      <x:c r="B9" s="100" t="str">
        <x:v>国家档案局清代玉牒介绍</x:v>
      </x:c>
      <x:c r="C9" s="100" t="str">
        <x:v>档案知识说明</x:v>
      </x:c>
      <x:c r="D9" s="100" t="str">
        <x:v>B</x:v>
      </x:c>
      <x:c r="E9" s="100" t="str">
        <x:v>玉牒的形制内容与保管背景</x:v>
      </x:c>
      <x:c r="F9" s="100" t="str">
        <x:v>线上阅读</x:v>
      </x:c>
      <x:c r="G9" s="100" t="str">
        <x:v>黄</x:v>
      </x:c>
      <x:c r="H9" s="100" t="str">
        <x:v>保存链接与必要摘录</x:v>
      </x:c>
      <x:c r="I9" s="100" t="str">
        <x:v>小段引文并链接</x:v>
      </x:c>
      <x:c r="J9" s="100" t="str">
        <x:v>待核权</x:v>
      </x:c>
      <x:c r="K9" s="100" t="str">
        <x:v>否</x:v>
      </x:c>
      <x:c r="L9" s="100" t="str">
        <x:v>用于术语和来源背景；不代替玉牒原件</x:v>
      </x:c>
      <x:c r="M9" s="100" t="str">
        <x:v>说明文章不是具体谱系关系的最终证据</x:v>
      </x:c>
      <x:c r="N9" s="100" t="str">
        <x:v>https://www.saac.gov.cn/daj/dawxyc/201201/d9e6e3e05d3b4cb698712b308fa09c1e.shtml</x:v>
      </x:c>
      <x:c r="O9" s="100" t="str">
        <x:v>https://www.saac.gov.cn/</x:v>
      </x:c>
      <x:c r="P9" s="100" t="str">
        <x:v>2026-08-12</x:v>
      </x:c>
      <x:c r="Q9" s="104" t="str">
        <x:v>追查可用的具体玉牒版本与馆藏号</x:v>
      </x:c>
      <x:c r="R9" s="104" t="str">
        <x:v>AH</x:v>
      </x:c>
      <x:c r="S9" s="104" t="str">
        <x:v>已核查</x:v>
      </x:c>
    </x:row>
    <x:row r="10" ht="52" customHeight="1">
      <x:c r="A10" s="100" t="str">
        <x:v>SRC-006</x:v>
      </x:c>
      <x:c r="B10" s="100" t="str">
        <x:v>台北故宫清代档案检索系统</x:v>
      </x:c>
      <x:c r="C10" s="100" t="str">
        <x:v>原始档案数字影像与目录</x:v>
      </x:c>
      <x:c r="D10" s="100" t="str">
        <x:v>A1</x:v>
      </x:c>
      <x:c r="E10" s="100" t="str">
        <x:v>宫中档奏折与军机处档折件等</x:v>
      </x:c>
      <x:c r="F10" s="100" t="str">
        <x:v>线上浏览无需账号</x:v>
      </x:c>
      <x:c r="G10" s="100" t="str">
        <x:v>黄</x:v>
      </x:c>
      <x:c r="H10" s="100" t="str">
        <x:v>仅保存自建元数据；影像下载须逐项核权</x:v>
      </x:c>
      <x:c r="I10" s="100" t="str">
        <x:v>公开站仅外链或嵌入经许可内容</x:v>
      </x:c>
      <x:c r="J10" s="100" t="str">
        <x:v>待逐项授权</x:v>
      </x:c>
      <x:c r="K10" s="100" t="str">
        <x:v>否</x:v>
      </x:c>
      <x:c r="L10" s="100" t="str">
        <x:v>首选原档发现与影像核对入口</x:v>
      </x:c>
      <x:c r="M10" s="100" t="str">
        <x:v>能浏览不代表档案影像属于开放资料</x:v>
      </x:c>
      <x:c r="N10" s="100" t="str">
        <x:v>https://qingarchives.npm.edu.tw/index.php?act=Landing%2Finformation</x:v>
      </x:c>
      <x:c r="O10" s="100" t="str">
        <x:v>https://www.npm.gov.tw/Article.aspx?sNo=03001505</x:v>
      </x:c>
      <x:c r="P10" s="100" t="str">
        <x:v>2026-08-12</x:v>
      </x:c>
      <x:c r="Q10" s="104" t="str">
        <x:v>建立目标档件清单并逐件登记权利</x:v>
      </x:c>
      <x:c r="R10" s="104" t="str">
        <x:v>RM</x:v>
      </x:c>
      <x:c r="S10" s="104" t="str">
        <x:v>已核查</x:v>
      </x:c>
    </x:row>
    <x:row r="11" ht="52" customHeight="1">
      <x:c r="A11" s="100" t="str">
        <x:v>SRC-007</x:v>
      </x:c>
      <x:c r="B11" s="100" t="str">
        <x:v>台北故宫 Open Data</x:v>
      </x:c>
      <x:c r="C11" s="100" t="str">
        <x:v>博物馆开放资料</x:v>
      </x:c>
      <x:c r="D11" s="100" t="str">
        <x:v>视对象而定</x:v>
      </x:c>
      <x:c r="E11" s="100" t="str">
        <x:v>明确纳入开放资料的书画器物图像与元数据</x:v>
      </x:c>
      <x:c r="F11" s="100" t="str">
        <x:v>开放下载</x:v>
      </x:c>
      <x:c r="G11" s="100" t="str">
        <x:v>绿</x:v>
      </x:c>
      <x:c r="H11" s="100" t="str">
        <x:v>是但限明确标记的开放对象</x:v>
      </x:c>
      <x:c r="I11" s="100" t="str">
        <x:v>是但须按所选分辨率许可</x:v>
      </x:c>
      <x:c r="J11" s="100" t="str">
        <x:v>是但须遵守对应许可</x:v>
      </x:c>
      <x:c r="K11" s="100" t="str">
        <x:v>待逐项判断</x:v>
      </x:c>
      <x:c r="L11" s="100" t="str">
        <x:v>低阶图像优先 CC0；中阶图像按 CC BY 4.0 署名</x:v>
      </x:c>
      <x:c r="M11" s="100" t="str">
        <x:v>清档系统影像不自动纳入此开放范围；必须逐对象核验</x:v>
      </x:c>
      <x:c r="N11" s="100" t="str">
        <x:v>https://digitalarchive.npm.gov.tw/opendata</x:v>
      </x:c>
      <x:c r="O11" s="100" t="str">
        <x:v>https://digitalarchive.npm.gov.tw/opendata</x:v>
      </x:c>
      <x:c r="P11" s="100" t="str">
        <x:v>2026-08-12</x:v>
      </x:c>
      <x:c r="Q11" s="104" t="str">
        <x:v>筛选 Phase 0 可合法展示的帝后画像</x:v>
      </x:c>
      <x:c r="R11" s="104" t="str">
        <x:v>RM</x:v>
      </x:c>
      <x:c r="S11" s="104" t="str">
        <x:v>已核查</x:v>
      </x:c>
    </x:row>
    <x:row r="12" ht="52" customHeight="1">
      <x:c r="A12" s="100" t="str">
        <x:v>SRC-008</x:v>
      </x:c>
      <x:c r="B12" s="100" t="str">
        <x:v>台北故宫宫中档奏折专题说明</x:v>
      </x:c>
      <x:c r="C12" s="100" t="str">
        <x:v>馆藏专题说明</x:v>
      </x:c>
      <x:c r="D12" s="100" t="str">
        <x:v>A1</x:v>
      </x:c>
      <x:c r="E12" s="100" t="str">
        <x:v>宫中档奏折馆藏脉络与数量说明</x:v>
      </x:c>
      <x:c r="F12" s="100" t="str">
        <x:v>线上阅读</x:v>
      </x:c>
      <x:c r="G12" s="100" t="str">
        <x:v>黄</x:v>
      </x:c>
      <x:c r="H12" s="100" t="str">
        <x:v>保存链接与必要摘录</x:v>
      </x:c>
      <x:c r="I12" s="100" t="str">
        <x:v>小段引文并链接</x:v>
      </x:c>
      <x:c r="J12" s="100" t="str">
        <x:v>待核权</x:v>
      </x:c>
      <x:c r="K12" s="100" t="str">
        <x:v>否</x:v>
      </x:c>
      <x:c r="L12" s="100" t="str">
        <x:v>用于理解档案系列与制定检索策略</x:v>
      </x:c>
      <x:c r="M12" s="100" t="str">
        <x:v>专题页不是影像开放许可</x:v>
      </x:c>
      <x:c r="N12" s="100" t="str">
        <x:v>https://theme.npm.edu.tw/selection/Article.aspx?sNo=04001049</x:v>
      </x:c>
      <x:c r="O12" s="100" t="str">
        <x:v>https://www.npm.gov.tw/Article.aspx?sNo=03001505</x:v>
      </x:c>
      <x:c r="P12" s="100" t="str">
        <x:v>2026-08-12</x:v>
      </x:c>
      <x:c r="Q12" s="104" t="str">
        <x:v>把相关档号回填到档案单元表</x:v>
      </x:c>
      <x:c r="R12" s="104" t="str">
        <x:v>AH</x:v>
      </x:c>
      <x:c r="S12" s="104" t="str">
        <x:v>已核查</x:v>
      </x:c>
    </x:row>
    <x:row r="13" ht="52" customHeight="1">
      <x:c r="A13" s="100" t="str">
        <x:v>SRC-009</x:v>
      </x:c>
      <x:c r="B13" s="100" t="str">
        <x:v>台北故宫史馆档传包传稿专题说明</x:v>
      </x:c>
      <x:c r="C13" s="100" t="str">
        <x:v>馆藏专题说明</x:v>
      </x:c>
      <x:c r="D13" s="100" t="str">
        <x:v>A1</x:v>
      </x:c>
      <x:c r="E13" s="100" t="str">
        <x:v>人物传记底稿与史馆档脉络</x:v>
      </x:c>
      <x:c r="F13" s="100" t="str">
        <x:v>线上阅读</x:v>
      </x:c>
      <x:c r="G13" s="100" t="str">
        <x:v>黄</x:v>
      </x:c>
      <x:c r="H13" s="100" t="str">
        <x:v>保存链接与必要摘录</x:v>
      </x:c>
      <x:c r="I13" s="100" t="str">
        <x:v>小段引文并链接</x:v>
      </x:c>
      <x:c r="J13" s="100" t="str">
        <x:v>待核权</x:v>
      </x:c>
      <x:c r="K13" s="100" t="str">
        <x:v>否</x:v>
      </x:c>
      <x:c r="L13" s="100" t="str">
        <x:v>用于人物生平交叉核验和来源谱系识别</x:v>
      </x:c>
      <x:c r="M13" s="100" t="str">
        <x:v>专题说明不能替代具体档件</x:v>
      </x:c>
      <x:c r="N13" s="100" t="str">
        <x:v>https://theme.npm.edu.tw/selection/Article.aspx?sNo=04001050</x:v>
      </x:c>
      <x:c r="O13" s="100" t="str">
        <x:v>https://www.npm.gov.tw/Article.aspx?sNo=03001505</x:v>
      </x:c>
      <x:c r="P13" s="100" t="str">
        <x:v>2026-08-12</x:v>
      </x:c>
      <x:c r="Q13" s="104" t="str">
        <x:v>列出与 50 人样本相关的传包传稿</x:v>
      </x:c>
      <x:c r="R13" s="104" t="str">
        <x:v>AH</x:v>
      </x:c>
      <x:c r="S13" s="104" t="str">
        <x:v>已核查</x:v>
      </x:c>
    </x:row>
    <x:row r="14" ht="52" customHeight="1">
      <x:c r="A14" s="100" t="str">
        <x:v>SRC-010</x:v>
      </x:c>
      <x:c r="B14" s="100" t="str">
        <x:v>中央研究院历史语言研究所内阁大库档案</x:v>
      </x:c>
      <x:c r="C14" s="100" t="str">
        <x:v>原始档案目录与数字资源</x:v>
      </x:c>
      <x:c r="D14" s="100" t="str">
        <x:v>A1</x:v>
      </x:c>
      <x:c r="E14" s="100" t="str">
        <x:v>清代内阁档案目录与部分数字影像</x:v>
      </x:c>
      <x:c r="F14" s="100" t="str">
        <x:v>线上检索；部分功能受规则限制</x:v>
      </x:c>
      <x:c r="G14" s="100" t="str">
        <x:v>黄</x:v>
      </x:c>
      <x:c r="H14" s="100" t="str">
        <x:v>仅保存自建元数据与获准下载内容</x:v>
      </x:c>
      <x:c r="I14" s="100" t="str">
        <x:v>元数据外链；影像逐项核权</x:v>
      </x:c>
      <x:c r="J14" s="100" t="str">
        <x:v>待核权</x:v>
      </x:c>
      <x:c r="K14" s="100" t="str">
        <x:v>否</x:v>
      </x:c>
      <x:c r="L14" s="100" t="str">
        <x:v>用来补一史馆与台北故宫的档案发现</x:v>
      </x:c>
      <x:c r="M14" s="100" t="str">
        <x:v>使用许可和访问条件需遵守站方规则</x:v>
      </x:c>
      <x:c r="N14" s="100" t="str">
        <x:v>https://newarchive.ihp.sinica.edu.tw/mcttp/</x:v>
      </x:c>
      <x:c r="O14" s="100" t="str">
        <x:v>https://newarchive.ihp.sinica.edu.tw/mcttp/rules.htm</x:v>
      </x:c>
      <x:c r="P14" s="100" t="str">
        <x:v>2026-08-12</x:v>
      </x:c>
      <x:c r="Q14" s="104" t="str">
        <x:v>核查目标档件的可见层级与引用格式</x:v>
      </x:c>
      <x:c r="R14" s="104" t="str">
        <x:v>RM</x:v>
      </x:c>
      <x:c r="S14" s="104" t="str">
        <x:v>已核查</x:v>
      </x:c>
    </x:row>
    <x:row r="15" ht="52" customHeight="1">
      <x:c r="A15" s="100" t="str">
        <x:v>SRC-011</x:v>
      </x:c>
      <x:c r="B15" s="100" t="str">
        <x:v>内阁大库档案使用规则</x:v>
      </x:c>
      <x:c r="C15" s="100" t="str">
        <x:v>访问与使用规则</x:v>
      </x:c>
      <x:c r="D15" s="100" t="str">
        <x:v>A1</x:v>
      </x:c>
      <x:c r="E15" s="100" t="str">
        <x:v>系统使用与资料利用边界</x:v>
      </x:c>
      <x:c r="F15" s="100" t="str">
        <x:v>线上阅读</x:v>
      </x:c>
      <x:c r="G15" s="100" t="str">
        <x:v>红</x:v>
      </x:c>
      <x:c r="H15" s="100" t="str">
        <x:v>仅在许可范围内</x:v>
      </x:c>
      <x:c r="I15" s="100" t="str">
        <x:v>仅在许可范围内</x:v>
      </x:c>
      <x:c r="J15" s="100" t="str">
        <x:v>待许可</x:v>
      </x:c>
      <x:c r="K15" s="100" t="str">
        <x:v>否</x:v>
      </x:c>
      <x:c r="L15" s="100" t="str">
        <x:v>作为采集流程的强制合规门</x:v>
      </x:c>
      <x:c r="M15" s="100" t="str">
        <x:v>不得把研究查询权限解释为批量再利用许可</x:v>
      </x:c>
      <x:c r="N15" s="100" t="str">
        <x:v>https://newarchive.ihp.sinica.edu.tw/mcttp/rules.htm</x:v>
      </x:c>
      <x:c r="O15" s="100" t="str">
        <x:v>https://newarchive.ihp.sinica.edu.tw/mcttp/rules.htm</x:v>
      </x:c>
      <x:c r="P15" s="100" t="str">
        <x:v>2026-08-12</x:v>
      </x:c>
      <x:c r="Q15" s="104" t="str">
        <x:v>形成内部可做与不可做清单</x:v>
      </x:c>
      <x:c r="R15" s="104" t="str">
        <x:v>RM</x:v>
      </x:c>
      <x:c r="S15" s="104" t="str">
        <x:v>已核查</x:v>
      </x:c>
    </x:row>
    <x:row r="16" ht="52" customHeight="1">
      <x:c r="A16" s="100" t="str">
        <x:v>SRC-012</x:v>
      </x:c>
      <x:c r="B16" s="100" t="str">
        <x:v>中央研究院汉籍电子文献资料库</x:v>
      </x:c>
      <x:c r="C16" s="100" t="str">
        <x:v>古籍数字文本</x:v>
      </x:c>
      <x:c r="D16" s="100" t="str">
        <x:v>B</x:v>
      </x:c>
      <x:c r="E16" s="100" t="str">
        <x:v>清代典籍与检索文本</x:v>
      </x:c>
      <x:c r="F16" s="100" t="str">
        <x:v>线上检索；部分内容需账号或机构权限</x:v>
      </x:c>
      <x:c r="G16" s="100" t="str">
        <x:v>黄</x:v>
      </x:c>
      <x:c r="H16" s="100" t="str">
        <x:v>仅保存必要引文与自建标注</x:v>
      </x:c>
      <x:c r="I16" s="100" t="str">
        <x:v>小段引文并链接</x:v>
      </x:c>
      <x:c r="J16" s="100" t="str">
        <x:v>待核权</x:v>
      </x:c>
      <x:c r="K16" s="100" t="str">
        <x:v>否</x:v>
      </x:c>
      <x:c r="L16" s="100" t="str">
        <x:v>作为全文发现入口；再回查具体版本</x:v>
      </x:c>
      <x:c r="M16" s="100" t="str">
        <x:v>不同数据库内容与许可不一不可一概复制</x:v>
      </x:c>
      <x:c r="N16" s="100" t="str">
        <x:v>https://hanji.ihp.sinica.edu.tw/</x:v>
      </x:c>
      <x:c r="O16" s="100" t="str">
        <x:v>https://hanji.ihp.sinica.edu.tw/</x:v>
      </x:c>
      <x:c r="P16" s="100" t="str">
        <x:v>2026-08-12</x:v>
      </x:c>
      <x:c r="Q16" s="104" t="str">
        <x:v>确认《清史稿》等目标版本与利用条款</x:v>
      </x:c>
      <x:c r="R16" s="104" t="str">
        <x:v>ME</x:v>
      </x:c>
      <x:c r="S16" s="104" t="str">
        <x:v>已核查</x:v>
      </x:c>
    </x:row>
    <x:row r="17" ht="52" customHeight="1">
      <x:c r="A17" s="100" t="str">
        <x:v>SRC-013</x:v>
      </x:c>
      <x:c r="B17" s="100" t="str">
        <x:v>中央研究院清代职官资料库与人名权威</x:v>
      </x:c>
      <x:c r="C17" s="100" t="str">
        <x:v>人物与职官权威数据</x:v>
      </x:c>
      <x:c r="D17" s="100" t="str">
        <x:v>B</x:v>
      </x:c>
      <x:c r="E17" s="100" t="str">
        <x:v>清代人名异名与职官线索</x:v>
      </x:c>
      <x:c r="F17" s="100" t="str">
        <x:v>线上检索</x:v>
      </x:c>
      <x:c r="G17" s="100" t="str">
        <x:v>黄</x:v>
      </x:c>
      <x:c r="H17" s="100" t="str">
        <x:v>仅保存匹配 ID 与自建映射</x:v>
      </x:c>
      <x:c r="I17" s="100" t="str">
        <x:v>展示自建记录并外链</x:v>
      </x:c>
      <x:c r="J17" s="100" t="str">
        <x:v>待核权</x:v>
      </x:c>
      <x:c r="K17" s="100" t="str">
        <x:v>否</x:v>
      </x:c>
      <x:c r="L17" s="100" t="str">
        <x:v>用于消歧候选；不直接作为史实终审</x:v>
      </x:c>
      <x:c r="M17" s="100" t="str">
        <x:v>权威库仍需结合原始材料逐条核验</x:v>
      </x:c>
      <x:c r="N17" s="100" t="str">
        <x:v>https://newarchive.ihp.sinica.edu.tw/sncaccgi/sncacFtp</x:v>
      </x:c>
      <x:c r="O17" s="100" t="str">
        <x:v>https://www1.ihp.sinica.edu.tw/Bulletin/News/1770/Detail</x:v>
      </x:c>
      <x:c r="P17" s="100" t="str">
        <x:v>2026-08-12</x:v>
      </x:c>
      <x:c r="Q17" s="104" t="str">
        <x:v>为 50 人建立外部标识映射</x:v>
      </x:c>
      <x:c r="R17" s="104" t="str">
        <x:v>DA</x:v>
      </x:c>
      <x:c r="S17" s="104" t="str">
        <x:v>已核查</x:v>
      </x:c>
    </x:row>
    <x:row r="18" ht="52" customHeight="1">
      <x:c r="A18" s="100" t="str">
        <x:v>SRC-014</x:v>
      </x:c>
      <x:c r="B18" s="100" t="str">
        <x:v>中国历代人物传记资料库 CBDB</x:v>
      </x:c>
      <x:c r="C18" s="100" t="str">
        <x:v>人物关系与履历聚合数据</x:v>
      </x:c>
      <x:c r="D18" s="100" t="str">
        <x:v>B</x:v>
      </x:c>
      <x:c r="E18" s="100" t="str">
        <x:v>人物身份关系与任官线索</x:v>
      </x:c>
      <x:c r="F18" s="100" t="str">
        <x:v>线上检索与数据下载</x:v>
      </x:c>
      <x:c r="G18" s="100" t="str">
        <x:v>红</x:v>
      </x:c>
      <x:c r="H18" s="100" t="str">
        <x:v>非商业研究按许可；商业项目不得直接作底库</x:v>
      </x:c>
      <x:c r="I18" s="100" t="str">
        <x:v>仅展示自建核验结果</x:v>
      </x:c>
      <x:c r="J18" s="100" t="str">
        <x:v>中国大陆商业使用受专属授权限制</x:v>
      </x:c>
      <x:c r="K18" s="100" t="str">
        <x:v>否</x:v>
      </x:c>
      <x:c r="L18" s="100" t="str">
        <x:v>仅作线索和交叉检查；不用作商业底库</x:v>
      </x:c>
      <x:c r="M18" s="100" t="str">
        <x:v>CC BY-NC-SA 与大陆商业专属授权会限制产品化</x:v>
      </x:c>
      <x:c r="N18" s="100" t="str">
        <x:v>https://cbdb.hsites.harvard.edu/</x:v>
      </x:c>
      <x:c r="O18" s="100" t="str">
        <x:v>https://cbdb.hsites.harvard.edu/exclusive-commercial-license</x:v>
      </x:c>
      <x:c r="P18" s="100" t="str">
        <x:v>2026-08-12</x:v>
      </x:c>
      <x:c r="Q18" s="104" t="str">
        <x:v>由法律顾问确认商业场景边界</x:v>
      </x:c>
      <x:c r="R18" s="104" t="str">
        <x:v>RM</x:v>
      </x:c>
      <x:c r="S18" s="104" t="str">
        <x:v>已核查</x:v>
      </x:c>
    </x:row>
    <x:row r="19" ht="52" customHeight="1">
      <x:c r="A19" s="100" t="str">
        <x:v>SRC-015</x:v>
      </x:c>
      <x:c r="B19" s="100" t="str">
        <x:v>CBDB API</x:v>
      </x:c>
      <x:c r="C19" s="100" t="str">
        <x:v>人物结构化接口</x:v>
      </x:c>
      <x:c r="D19" s="100" t="str">
        <x:v>B</x:v>
      </x:c>
      <x:c r="E19" s="100" t="str">
        <x:v>人物别名关系与任官线索</x:v>
      </x:c>
      <x:c r="F19" s="100" t="str">
        <x:v>公开接口</x:v>
      </x:c>
      <x:c r="G19" s="100" t="str">
        <x:v>红</x:v>
      </x:c>
      <x:c r="H19" s="100" t="str">
        <x:v>仅在许可范围内缓存</x:v>
      </x:c>
      <x:c r="I19" s="100" t="str">
        <x:v>仅展示自建核验结果</x:v>
      </x:c>
      <x:c r="J19" s="100" t="str">
        <x:v>中国大陆商业项目待授权</x:v>
      </x:c>
      <x:c r="K19" s="100" t="str">
        <x:v>否</x:v>
      </x:c>
      <x:c r="L19" s="100" t="str">
        <x:v>限 Phase 0 研究性比对；保留来源标识</x:v>
      </x:c>
      <x:c r="M19" s="100" t="str">
        <x:v>接口开放不等于数据可无条件商业再发布</x:v>
      </x:c>
      <x:c r="N19" s="100" t="str">
        <x:v>https://input.cbdb.fas.harvard.edu/cbdbapi/index.html</x:v>
      </x:c>
      <x:c r="O19" s="100" t="str">
        <x:v>https://cbdb.hsites.harvard.edu/exclusive-commercial-license</x:v>
      </x:c>
      <x:c r="P19" s="100" t="str">
        <x:v>2026-08-12</x:v>
      </x:c>
      <x:c r="Q19" s="104" t="str">
        <x:v>做 10 人消歧试验并记录命中误差</x:v>
      </x:c>
      <x:c r="R19" s="104" t="str">
        <x:v>DA</x:v>
      </x:c>
      <x:c r="S19" s="104" t="str">
        <x:v>待试验</x:v>
      </x:c>
    </x:row>
    <x:row r="20" ht="52" customHeight="1">
      <x:c r="A20" s="100" t="str">
        <x:v>SRC-016</x:v>
      </x:c>
      <x:c r="B20" s="100" t="str">
        <x:v>中国历史地理信息系统 CHGIS</x:v>
      </x:c>
      <x:c r="C20" s="100" t="str">
        <x:v>历史地名与坐标数据</x:v>
      </x:c>
      <x:c r="D20" s="100" t="str">
        <x:v>B</x:v>
      </x:c>
      <x:c r="E20" s="100" t="str">
        <x:v>历史地名层级与地理参考</x:v>
      </x:c>
      <x:c r="F20" s="100" t="str">
        <x:v>线上检索与数据服务</x:v>
      </x:c>
      <x:c r="G20" s="100" t="str">
        <x:v>黄</x:v>
      </x:c>
      <x:c r="H20" s="100" t="str">
        <x:v>仅保存自建映射及许可数据</x:v>
      </x:c>
      <x:c r="I20" s="100" t="str">
        <x:v>展示自建地点记录并署名外链</x:v>
      </x:c>
      <x:c r="J20" s="100" t="str">
        <x:v>待核权</x:v>
      </x:c>
      <x:c r="K20" s="100" t="str">
        <x:v>否</x:v>
      </x:c>
      <x:c r="L20" s="100" t="str">
        <x:v>用于地点消歧候选和地图定位</x:v>
      </x:c>
      <x:c r="M20" s="100" t="str">
        <x:v>必须核查具体数据集许可与时间切片</x:v>
      </x:c>
      <x:c r="N20" s="100" t="str">
        <x:v>https://chgis.fas.harvard.edu/</x:v>
      </x:c>
      <x:c r="O20" s="100" t="str">
        <x:v>https://chgis.fas.harvard.edu/</x:v>
      </x:c>
      <x:c r="P20" s="100" t="str">
        <x:v>2026-08-12</x:v>
      </x:c>
      <x:c r="Q20" s="104" t="str">
        <x:v>选 10 个地点做消歧与坐标核验</x:v>
      </x:c>
      <x:c r="R20" s="104" t="str">
        <x:v>DA</x:v>
      </x:c>
      <x:c r="S20" s="104" t="str">
        <x:v>待核查</x:v>
      </x:c>
    </x:row>
    <x:row r="21" ht="52" customHeight="1">
      <x:c r="A21" s="100" t="str">
        <x:v>SRC-017</x:v>
      </x:c>
      <x:c r="B21" s="100" t="str">
        <x:v>北京故宫博物院清代帝后世系与人物页</x:v>
      </x:c>
      <x:c r="C21" s="100" t="str">
        <x:v>权威馆藏与人物说明</x:v>
      </x:c>
      <x:c r="D21" s="100" t="str">
        <x:v>B</x:v>
      </x:c>
      <x:c r="E21" s="100" t="str">
        <x:v>帝后人物及相关馆藏线索</x:v>
      </x:c>
      <x:c r="F21" s="100" t="str">
        <x:v>线上浏览</x:v>
      </x:c>
      <x:c r="G21" s="100" t="str">
        <x:v>黄</x:v>
      </x:c>
      <x:c r="H21" s="100" t="str">
        <x:v>仅保存自建元数据与必要引文</x:v>
      </x:c>
      <x:c r="I21" s="100" t="str">
        <x:v>外链；图片不在未授权情况下镜像</x:v>
      </x:c>
      <x:c r="J21" s="100" t="str">
        <x:v>待授权</x:v>
      </x:c>
      <x:c r="K21" s="100" t="str">
        <x:v>否</x:v>
      </x:c>
      <x:c r="L21" s="100" t="str">
        <x:v>用于权威馆藏发现与外部链接</x:v>
      </x:c>
      <x:c r="M21" s="100" t="str">
        <x:v>网站内容和图片受严格使用条款约束</x:v>
      </x:c>
      <x:c r="N21" s="100" t="str">
        <x:v>https://www.dpm.org.cn/court/lineage/226259.html</x:v>
      </x:c>
      <x:c r="O21" s="100" t="str">
        <x:v>https://digicol.dpm.org.cn/page/copyright</x:v>
      </x:c>
      <x:c r="P21" s="100" t="str">
        <x:v>2026-08-12</x:v>
      </x:c>
      <x:c r="Q21" s="104" t="str">
        <x:v>列出 Phase 0 所需人物页与馆藏对象</x:v>
      </x:c>
      <x:c r="R21" s="104" t="str">
        <x:v>RM</x:v>
      </x:c>
      <x:c r="S21" s="104" t="str">
        <x:v>已核查</x:v>
      </x:c>
    </x:row>
    <x:row r="22" ht="52" customHeight="1">
      <x:c r="A22" s="100" t="str">
        <x:v>SRC-018</x:v>
      </x:c>
      <x:c r="B22" s="100" t="str">
        <x:v>故宫博物院数字文物库版权声明</x:v>
      </x:c>
      <x:c r="C22" s="100" t="str">
        <x:v>权利规则</x:v>
      </x:c>
      <x:c r="D22" s="100" t="str">
        <x:v>A1</x:v>
      </x:c>
      <x:c r="E22" s="100" t="str">
        <x:v>数字文物图片与网站内容使用边界</x:v>
      </x:c>
      <x:c r="F22" s="100" t="str">
        <x:v>线上阅读</x:v>
      </x:c>
      <x:c r="G22" s="100" t="str">
        <x:v>红</x:v>
      </x:c>
      <x:c r="H22" s="100" t="str">
        <x:v>未经授权否</x:v>
      </x:c>
      <x:c r="I22" s="100" t="str">
        <x:v>未经授权否</x:v>
      </x:c>
      <x:c r="J22" s="100" t="str">
        <x:v>未经授权否</x:v>
      </x:c>
      <x:c r="K22" s="100" t="str">
        <x:v>否</x:v>
      </x:c>
      <x:c r="L22" s="100" t="str">
        <x:v>把北京故宫图片默认为禁用直至获书面许可</x:v>
      </x:c>
      <x:c r="M22" s="100" t="str">
        <x:v>公开可见不等于可复制传播或商业利用</x:v>
      </x:c>
      <x:c r="N22" s="100" t="str">
        <x:v>https://digicol.dpm.org.cn/page/copyright</x:v>
      </x:c>
      <x:c r="O22" s="100" t="str">
        <x:v>https://digicol.dpm.org.cn/page/copyright</x:v>
      </x:c>
      <x:c r="P22" s="100" t="str">
        <x:v>2026-08-12</x:v>
      </x:c>
      <x:c r="Q22" s="104" t="str">
        <x:v>将规则写入图像入库门禁</x:v>
      </x:c>
      <x:c r="R22" s="104" t="str">
        <x:v>RM</x:v>
      </x:c>
      <x:c r="S22" s="104" t="str">
        <x:v>已核查</x:v>
      </x:c>
    </x:row>
    <x:row r="23" ht="52" customHeight="1">
      <x:c r="A23" s="100" t="str">
        <x:v>SRC-019</x:v>
      </x:c>
      <x:c r="B23" s="100" t="str">
        <x:v>故宫博物院数字文物库图像使用申请</x:v>
      </x:c>
      <x:c r="C23" s="100" t="str">
        <x:v>授权申请入口</x:v>
      </x:c>
      <x:c r="D23" s="100" t="str">
        <x:v>A1</x:v>
      </x:c>
      <x:c r="E23" s="100" t="str">
        <x:v>馆藏图像授权申请流程</x:v>
      </x:c>
      <x:c r="F23" s="100" t="str">
        <x:v>线上申请</x:v>
      </x:c>
      <x:c r="G23" s="100" t="str">
        <x:v>黄</x:v>
      </x:c>
      <x:c r="H23" s="100" t="str">
        <x:v>获批后按协议</x:v>
      </x:c>
      <x:c r="I23" s="100" t="str">
        <x:v>获批后按协议</x:v>
      </x:c>
      <x:c r="J23" s="100" t="str">
        <x:v>获批后按协议</x:v>
      </x:c>
      <x:c r="K23" s="100" t="str">
        <x:v>否</x:v>
      </x:c>
      <x:c r="L23" s="100" t="str">
        <x:v>对高价值核心画像走正式授权</x:v>
      </x:c>
      <x:c r="M23" s="100" t="str">
        <x:v>授权范围分辨率期限与媒介需逐项谈定</x:v>
      </x:c>
      <x:c r="N23" s="100" t="str">
        <x:v>https://digicol.dpm.org.cn/page/applyimage</x:v>
      </x:c>
      <x:c r="O23" s="100" t="str">
        <x:v>https://digicol.dpm.org.cn/page/applyimage</x:v>
      </x:c>
      <x:c r="P23" s="100" t="str">
        <x:v>2026-08-12</x:v>
      </x:c>
      <x:c r="Q23" s="104" t="str">
        <x:v>准备 10 幅核心图像申请清单</x:v>
      </x:c>
      <x:c r="R23" s="104" t="str">
        <x:v>RM</x:v>
      </x:c>
      <x:c r="S23" s="104" t="str">
        <x:v>待申请</x:v>
      </x:c>
    </x:row>
    <x:row r="24" ht="52" customHeight="1">
      <x:c r="A24" s="100" t="str">
        <x:v>SRC-020</x:v>
      </x:c>
      <x:c r="B24" s="100" t="str">
        <x:v>中国哲学书电子化计划《清史稿》</x:v>
      </x:c>
      <x:c r="C24" s="100" t="str">
        <x:v>数字古籍文本</x:v>
      </x:c>
      <x:c r="D24" s="100" t="str">
        <x:v>C</x:v>
      </x:c>
      <x:c r="E24" s="100" t="str">
        <x:v>《清史稿》在线文本与章节链接</x:v>
      </x:c>
      <x:c r="F24" s="100" t="str">
        <x:v>线上阅读</x:v>
      </x:c>
      <x:c r="G24" s="100" t="str">
        <x:v>黄</x:v>
      </x:c>
      <x:c r="H24" s="100" t="str">
        <x:v>只保存必要引文与定位</x:v>
      </x:c>
      <x:c r="I24" s="100" t="str">
        <x:v>小段引文并链接</x:v>
      </x:c>
      <x:c r="J24" s="100" t="str">
        <x:v>待核权</x:v>
      </x:c>
      <x:c r="K24" s="100" t="str">
        <x:v>否</x:v>
      </x:c>
      <x:c r="L24" s="100" t="str">
        <x:v>用于快速检索线索；回查可靠底本</x:v>
      </x:c>
      <x:c r="M24" s="100" t="str">
        <x:v>数字转录可能有 OCR 或版本差异且不可作为事实终审</x:v>
      </x:c>
      <x:c r="N24" s="100" t="str">
        <x:v>https://ctext.org/wiki.pl?if=gb&amp;res=98755</x:v>
      </x:c>
      <x:c r="O24" s="100" t="str">
        <x:v>https://ctext.org/</x:v>
      </x:c>
      <x:c r="P24" s="100" t="str">
        <x:v>2026-08-12</x:v>
      </x:c>
      <x:c r="Q24" s="104" t="str">
        <x:v>抽查十段与可核版本差异</x:v>
      </x:c>
      <x:c r="R24" s="104" t="str">
        <x:v>ME</x:v>
      </x:c>
      <x:c r="S24" s="104" t="str">
        <x:v>已核查</x:v>
      </x:c>
    </x:row>
    <x:row r="25" ht="52" customHeight="1">
      <x:c r="A25" s="100" t="str">
        <x:v>SRC-021</x:v>
      </x:c>
      <x:c r="B25" s="100" t="str">
        <x:v>美国大都会艺术博物馆 Open Access</x:v>
      </x:c>
      <x:c r="C25" s="100" t="str">
        <x:v>博物馆开放图像</x:v>
      </x:c>
      <x:c r="D25" s="100" t="str">
        <x:v>视对象而定</x:v>
      </x:c>
      <x:c r="E25" s="100" t="str">
        <x:v>明确标记 Public Domain 的清代艺术品图像与元数据</x:v>
      </x:c>
      <x:c r="F25" s="100" t="str">
        <x:v>开放下载与 API</x:v>
      </x:c>
      <x:c r="G25" s="100" t="str">
        <x:v>绿</x:v>
      </x:c>
      <x:c r="H25" s="100" t="str">
        <x:v>是但限明确标记的公版对象</x:v>
      </x:c>
      <x:c r="I25" s="100" t="str">
        <x:v>是</x:v>
      </x:c>
      <x:c r="J25" s="100" t="str">
        <x:v>是</x:v>
      </x:c>
      <x:c r="K25" s="100" t="str">
        <x:v>按官方开放政策判断</x:v>
      </x:c>
      <x:c r="L25" s="100" t="str">
        <x:v>优先用于可合法展示的辅助人物与服饰图像</x:v>
      </x:c>
      <x:c r="M25" s="100" t="str">
        <x:v>每件对象须确认 Public Domain 标记不能只看年代</x:v>
      </x:c>
      <x:c r="N25" s="100" t="str">
        <x:v>https://www.metmuseum.org/hubs/open-access</x:v>
      </x:c>
      <x:c r="O25" s="100" t="str">
        <x:v>https://www.metmuseum.org/about-the-met/policies-and-documents/open-access</x:v>
      </x:c>
      <x:c r="P25" s="100" t="str">
        <x:v>2026-08-12</x:v>
      </x:c>
      <x:c r="Q25" s="104" t="str">
        <x:v>检索康熙雍正时期人物与宫廷相关对象</x:v>
      </x:c>
      <x:c r="R25" s="104" t="str">
        <x:v>RM</x:v>
      </x:c>
      <x:c r="S25" s="104" t="str">
        <x:v>已核查</x:v>
      </x:c>
    </x:row>
    <x:row r="26" ht="52" customHeight="1">
      <x:c r="A26" s="100" t="str">
        <x:v>SRC-022</x:v>
      </x:c>
      <x:c r="B26" s="100" t="str">
        <x:v>史密森学会 Open Access</x:v>
      </x:c>
      <x:c r="C26" s="100" t="str">
        <x:v>博物馆与档案开放图像</x:v>
      </x:c>
      <x:c r="D26" s="100" t="str">
        <x:v>视对象而定</x:v>
      </x:c>
      <x:c r="E26" s="100" t="str">
        <x:v>明确标记 CC0 的亚洲艺术与历史资源</x:v>
      </x:c>
      <x:c r="F26" s="100" t="str">
        <x:v>开放下载与 API</x:v>
      </x:c>
      <x:c r="G26" s="100" t="str">
        <x:v>绿</x:v>
      </x:c>
      <x:c r="H26" s="100" t="str">
        <x:v>是但限 CC0 对象</x:v>
      </x:c>
      <x:c r="I26" s="100" t="str">
        <x:v>是</x:v>
      </x:c>
      <x:c r="J26" s="100" t="str">
        <x:v>是</x:v>
      </x:c>
      <x:c r="K26" s="100" t="str">
        <x:v>按 CC0 与对象页标记判断</x:v>
      </x:c>
      <x:c r="L26" s="100" t="str">
        <x:v>作为跨馆藏图像补充并保留对象 ID</x:v>
      </x:c>
      <x:c r="M26" s="100" t="str">
        <x:v>并非全部史密森资源均为 CC0</x:v>
      </x:c>
      <x:c r="N26" s="100" t="str">
        <x:v>https://www.si.edu/openaccess</x:v>
      </x:c>
      <x:c r="O26" s="100" t="str">
        <x:v>https://www.si.edu/openaccess</x:v>
      </x:c>
      <x:c r="P26" s="100" t="str">
        <x:v>2026-08-12</x:v>
      </x:c>
      <x:c r="Q26" s="104" t="str">
        <x:v>检索 Phase 0 可用清代相关资源</x:v>
      </x:c>
      <x:c r="R26" s="104" t="str">
        <x:v>RM</x:v>
      </x:c>
      <x:c r="S26" s="104" t="str">
        <x:v>已核查</x:v>
      </x:c>
    </x:row>
    <x:row r="27" ht="52" customHeight="1">
      <x:c r="A27" s="100" t="str">
        <x:v>SRC-023</x:v>
      </x:c>
      <x:c r="B27" s="100" t="str">
        <x:v>美国国会图书馆清代相关馆藏</x:v>
      </x:c>
      <x:c r="C27" s="100" t="str">
        <x:v>图书与图像馆藏</x:v>
      </x:c>
      <x:c r="D27" s="100" t="str">
        <x:v>视对象而定</x:v>
      </x:c>
      <x:c r="E27" s="100" t="str">
        <x:v>清代书籍地图照片与版画目录</x:v>
      </x:c>
      <x:c r="F27" s="100" t="str">
        <x:v>线上检索与部分下载</x:v>
      </x:c>
      <x:c r="G27" s="100" t="str">
        <x:v>黄</x:v>
      </x:c>
      <x:c r="H27" s="100" t="str">
        <x:v>按对象权利声明</x:v>
      </x:c>
      <x:c r="I27" s="100" t="str">
        <x:v>按对象权利声明</x:v>
      </x:c>
      <x:c r="J27" s="100" t="str">
        <x:v>按对象权利声明</x:v>
      </x:c>
      <x:c r="K27" s="100" t="str">
        <x:v>按对象权利声明</x:v>
      </x:c>
      <x:c r="L27" s="100" t="str">
        <x:v>只用有明确 Rights and Access 说明的对象</x:v>
      </x:c>
      <x:c r="M27" s="100" t="str">
        <x:v>国会图书馆不替所有对象统一保证公版</x:v>
      </x:c>
      <x:c r="N27" s="100" t="str">
        <x:v>https://www.loc.gov/item/05033666/</x:v>
      </x:c>
      <x:c r="O27" s="100" t="str">
        <x:v>https://www.loc.gov/legal/</x:v>
      </x:c>
      <x:c r="P27" s="100" t="str">
        <x:v>2026-08-12</x:v>
      </x:c>
      <x:c r="Q27" s="104" t="str">
        <x:v>为候选对象保存逐件权利截图与核查日期</x:v>
      </x:c>
      <x:c r="R27" s="104" t="str">
        <x:v>RM</x:v>
      </x:c>
      <x:c r="S27" s="104" t="str">
        <x:v>待逐件核查</x:v>
      </x:c>
    </x:row>
    <x:row r="28" ht="52" customHeight="1">
      <x:c r="A28" s="100" t="str">
        <x:v>SRC-024</x:v>
      </x:c>
      <x:c r="B28" s="100" t="str">
        <x:v>国家图书馆中华古籍资源库与数字方志</x:v>
      </x:c>
      <x:c r="C28" s="100" t="str">
        <x:v>古籍与地方文献数字资源</x:v>
      </x:c>
      <x:c r="D28" s="100" t="str">
        <x:v>B</x:v>
      </x:c>
      <x:c r="E28" s="100" t="str">
        <x:v>清代地方志与古籍影像目录</x:v>
      </x:c>
      <x:c r="F28" s="100" t="str">
        <x:v>线上检索；部分资源受访问限制</x:v>
      </x:c>
      <x:c r="G28" s="100" t="str">
        <x:v>黄</x:v>
      </x:c>
      <x:c r="H28" s="100" t="str">
        <x:v>仅保存自建元数据与必要引文</x:v>
      </x:c>
      <x:c r="I28" s="100" t="str">
        <x:v>外链或使用获准内容</x:v>
      </x:c>
      <x:c r="J28" s="100" t="str">
        <x:v>待核权</x:v>
      </x:c>
      <x:c r="K28" s="100" t="str">
        <x:v>否</x:v>
      </x:c>
      <x:c r="L28" s="100" t="str">
        <x:v>补充地方人物事件与制度背景</x:v>
      </x:c>
      <x:c r="M28" s="100" t="str">
        <x:v>古籍年代与数字影像权利是两层问题</x:v>
      </x:c>
      <x:c r="N28" s="100" t="str">
        <x:v>https://read.nlc.cn/allSearch/searchList?pageNo=1&amp;searchType=12&amp;showType=1</x:v>
      </x:c>
      <x:c r="O28" s="100" t="str">
        <x:v>https://www.nlc.cn/</x:v>
      </x:c>
      <x:c r="P28" s="100" t="str">
        <x:v>2026-08-12</x:v>
      </x:c>
      <x:c r="Q28" s="104" t="str">
        <x:v>建立与皇族活动地点相关的方志清单</x:v>
      </x:c>
      <x:c r="R28" s="104" t="str">
        <x:v>AH</x:v>
      </x:c>
      <x:c r="S28" s="104" t="str">
        <x:v>待核查</x:v>
      </x:c>
    </x:row>
    <x:row r="29" ht="52" customHeight="1">
      <x:c r="A29" s="100" t="str">
        <x:v>SRC-025</x:v>
      </x:c>
      <x:c r="B29" s="100" t="str">
        <x:v>《清史稿》各版本</x:v>
      </x:c>
      <x:c r="C29" s="100" t="str">
        <x:v>后出纪传体史书</x:v>
      </x:c>
      <x:c r="D29" s="100" t="str">
        <x:v>A2</x:v>
      </x:c>
      <x:c r="E29" s="100" t="str">
        <x:v>帝后皇子列传与制度汇总</x:v>
      </x:c>
      <x:c r="F29" s="100" t="str">
        <x:v>图书馆与多个数字平台</x:v>
      </x:c>
      <x:c r="G29" s="100" t="str">
        <x:v>黄</x:v>
      </x:c>
      <x:c r="H29" s="100" t="str">
        <x:v>仅对明确公版底本保存影像与转录</x:v>
      </x:c>
      <x:c r="I29" s="100" t="str">
        <x:v>公版底本可展示；现代点校本另核权</x:v>
      </x:c>
      <x:c r="J29" s="100" t="str">
        <x:v>取决于具体版本</x:v>
      </x:c>
      <x:c r="K29" s="100" t="str">
        <x:v>取决于具体版本</x:v>
      </x:c>
      <x:c r="L29" s="100" t="str">
        <x:v>登记到具体底本并标注未定稿性质</x:v>
      </x:c>
      <x:c r="M29" s="100" t="str">
        <x:v>成书仓促且有错误矛盾；只能作线索和一类后出证据</x:v>
      </x:c>
      <x:c r="N29" s="100" t="str">
        <x:v>https://ctext.org/wiki.pl?if=gb&amp;res=98755</x:v>
      </x:c>
      <x:c r="O29" s="100" t="str">
        <x:v>https://ctext.org/</x:v>
      </x:c>
      <x:c r="P29" s="100" t="str">
        <x:v>2026-08-12</x:v>
      </x:c>
      <x:c r="Q29" s="104" t="str">
        <x:v>确定 Phase 0 基准底本并建版本谱系</x:v>
      </x:c>
      <x:c r="R29" s="104" t="str">
        <x:v>AH</x:v>
      </x:c>
      <x:c r="S29" s="104" t="str">
        <x:v>待定版</x:v>
      </x:c>
    </x:row>
    <x:row r="30" ht="52" customHeight="1">
      <x:c r="A30" s="100" t="str">
        <x:v>SRC-026</x:v>
      </x:c>
      <x:c r="B30" s="100" t="str">
        <x:v>玉牒具体卷册与版本</x:v>
      </x:c>
      <x:c r="C30" s="100" t="str">
        <x:v>皇家谱牒</x:v>
      </x:c>
      <x:c r="D30" s="100" t="str">
        <x:v>A1</x:v>
      </x:c>
      <x:c r="E30" s="100" t="str">
        <x:v>宗室出生婚姻生母过继封爵等谱系信息</x:v>
      </x:c>
      <x:c r="F30" s="100" t="str">
        <x:v>档案馆或影印出版物</x:v>
      </x:c>
      <x:c r="G30" s="100" t="str">
        <x:v>黄</x:v>
      </x:c>
      <x:c r="H30" s="100" t="str">
        <x:v>取决于馆藏规则与具体版本</x:v>
      </x:c>
      <x:c r="I30" s="100" t="str">
        <x:v>取决于授权或公版状态</x:v>
      </x:c>
      <x:c r="J30" s="100" t="str">
        <x:v>取决于具体版本</x:v>
      </x:c>
      <x:c r="K30" s="100" t="str">
        <x:v>否</x:v>
      </x:c>
      <x:c r="L30" s="100" t="str">
        <x:v>一条关系必须记录玉牒版本卷页与编修时间</x:v>
      </x:c>
      <x:c r="M30" s="100" t="str">
        <x:v>不同修次与嫡庶生母养母过继不得压成静态家谱</x:v>
      </x:c>
      <x:c r="N30" s="100" t="str">
        <x:v>https://www.saac.gov.cn/daj/dawxyc/201201/d9e6e3e05d3b4cb698712b308fa09c1e.shtml</x:v>
      </x:c>
      <x:c r="O30" s="100" t="str">
        <x:v>https://fhac.com.cn/</x:v>
      </x:c>
      <x:c r="P30" s="100" t="str">
        <x:v>2026-08-12</x:v>
      </x:c>
      <x:c r="Q30" s="104" t="str">
        <x:v>取得可合法核验的康雍阶段具体版本</x:v>
      </x:c>
      <x:c r="R30" s="104" t="str">
        <x:v>AH</x:v>
      </x:c>
      <x:c r="S30" s="104" t="str">
        <x:v>高优先阻塞</x:v>
      </x:c>
    </x:row>
    <x:row r="31" ht="52" customHeight="1">
      <x:c r="A31" s="100" t="str">
        <x:v>SRC-027</x:v>
      </x:c>
      <x:c r="B31" s="100" t="str">
        <x:v>韩国国史编纂委员会明清实录</x:v>
      </x:c>
      <x:c r="C31" s="100" t="str">
        <x:v>官修编年史数字文本与底本图像</x:v>
      </x:c>
      <x:c r="D31" s="100" t="str">
        <x:v>A2</x:v>
      </x:c>
      <x:c r="E31" s="100" t="str">
        <x:v>《清实录》逐日记录与所据写本说明</x:v>
      </x:c>
      <x:c r="F31" s="100" t="str">
        <x:v>线上免费浏览</x:v>
      </x:c>
      <x:c r="G31" s="100" t="str">
        <x:v>黄</x:v>
      </x:c>
      <x:c r="H31" s="100" t="str">
        <x:v>仅保存必要短引文定位与自建标注</x:v>
      </x:c>
      <x:c r="I31" s="100" t="str">
        <x:v>小段合理引文并链接原站</x:v>
      </x:c>
      <x:c r="J31" s="100" t="str">
        <x:v>待核权</x:v>
      </x:c>
      <x:c r="K31" s="100" t="str">
        <x:v>否</x:v>
      </x:c>
      <x:c r="L31" s="100" t="str">
        <x:v>用于精确到卷年月日和当日条次的来源回查</x:v>
      </x:c>
      <x:c r="M31" s="100" t="str">
        <x:v>平台说明可核底本但免费浏览不等于允许整库镜像</x:v>
      </x:c>
      <x:c r="N31" s="100" t="str">
        <x:v>https://sillok.history.go.kr/mc/main.do</x:v>
      </x:c>
      <x:c r="O31" s="100" t="str">
        <x:v>https://sillok.history.go.kr/mc/intro/notes.do</x:v>
      </x:c>
      <x:c r="P31" s="100" t="str">
        <x:v>2026-08-12</x:v>
      </x:c>
      <x:c r="Q31" s="104" t="str">
        <x:v>继续拆康熙卷1与卷300并核原本图像</x:v>
      </x:c>
      <x:c r="R31" s="104" t="str">
        <x:v>AI</x:v>
      </x:c>
      <x:c r="S31" s="104" t="str">
        <x:v>已核查</x:v>
      </x:c>
    </x:row>
  </x:sheetData>
  <x:mergeCells>
    <x:mergeCell ref="A1:S1"/>
    <x:mergeCell ref="A2:S2"/>
  </x:mergeCells>
  <x:conditionalFormatting sqref="G5:G31">
    <x:cfRule type="containsText" dxfId="42" priority="1" operator="containsText" text="绿"/>
    <x:cfRule type="containsText" dxfId="43" priority="2" operator="containsText" text="黄"/>
    <x:cfRule type="containsText" dxfId="44" priority="3" operator="containsText" text="红"/>
  </x:conditionalFormatting>
  <x:conditionalFormatting sqref="S5:S31">
    <x:cfRule type="containsText" dxfId="45" priority="4" operator="containsText" text="已完成"/>
    <x:cfRule type="containsText" dxfId="46" priority="5" operator="containsText" text="已通过"/>
    <x:cfRule type="containsText" dxfId="47" priority="6" operator="containsText" text="进行中"/>
    <x:cfRule type="containsText" dxfId="48" priority="7" operator="containsText" text="待审核"/>
    <x:cfRule type="containsText" dxfId="49" priority="8" operator="containsText" text="阻塞"/>
  </x:conditionalFormatting>
  <x:dataValidations count="1">
    <x:dataValidation type="list" sqref="G5:G31">
      <x:formula1>"绿,黄,红"</x:formula1>
    </x:dataValidation>
  </x:dataValidations>
  <x:pageMargins left="0.7" right="0.7" top="0.75" bottom="0.75" header="0.3" footer="0.3"/>
  <x:legacyDrawing xmlns:r="http://schemas.openxmlformats.org/officeDocument/2006/relationships" r:id="R4e94ee42909b4964"/>
  <x:tableParts count="1">
    <x:tablePart xmlns:r="http://schemas.openxmlformats.org/officeDocument/2006/relationships" r:id="R056280e0833548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5" hidden="0" customWidth="1"/>
    <x:col min="5" max="5" width="30" hidden="0" customWidth="1"/>
    <x:col min="6" max="6" width="2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40" hidden="0" customWidth="1"/>
    <x:col min="13" max="13" width="55" hidden="0" customWidth="1"/>
    <x:col min="14" max="14" width="13" hidden="0" customWidth="1"/>
    <x:col min="15" max="15" width="14" hidden="0" customWidth="1"/>
    <x:col min="16" max="16" width="13" hidden="0" customWidth="1"/>
    <x:col min="17" max="17" width="18" hidden="0" customWidth="1"/>
    <x:col min="18" max="18" width="16" hidden="0" customWidth="1"/>
    <x:col min="19" max="19" width="18" hidden="0" customWidth="1"/>
    <x:col min="20" max="20" width="14" hidden="0" customWidth="1"/>
    <x:col min="21" max="21" width="14" hidden="0" customWidth="1"/>
    <x:col min="22" max="22" width="38" hidden="0" customWidth="1"/>
  </x:cols>
  <x:sheetData>
    <x:row r="1" ht="34" customHeight="1">
      <x:c r="A1" s="3" t="str">
        <x:v>主张工作台</x:v>
      </x:c>
    </x:row>
    <x:row r="2" ht="24" customHeight="1">
      <x:c r="A2" s="6" t="str">
        <x:v>一行一条可争议、可审核、可替换的原子主张。蓝底为输入；状态达到“已采纳”前不得进入正式叙事。</x:v>
      </x:c>
    </x:row>
    <x:row r="4" ht="32" customHeight="1">
      <x:c r="A4" s="92" t="str">
        <x:v>Assertion ID</x:v>
      </x:c>
      <x:c r="B4" s="93" t="str">
        <x:v>主张类型</x:v>
      </x:c>
      <x:c r="C4" s="93" t="str">
        <x:v>主体 ID</x:v>
      </x:c>
      <x:c r="D4" s="93" t="str">
        <x:v>谓词/关系</x:v>
      </x:c>
      <x:c r="E4" s="93" t="str">
        <x:v>客体 ID 或值</x:v>
      </x:c>
      <x:c r="F4" s="93" t="str">
        <x:v>原始时间表达</x:v>
      </x:c>
      <x:c r="G4" s="93" t="str">
        <x:v>公历下界</x:v>
      </x:c>
      <x:c r="H4" s="93" t="str">
        <x:v>公历上界</x:v>
      </x:c>
      <x:c r="I4" s="93" t="str">
        <x:v>确定性</x:v>
      </x:c>
      <x:c r="J4" s="93" t="str">
        <x:v>状态</x:v>
      </x:c>
      <x:c r="K4" s="93" t="str">
        <x:v>来源实体 ID</x:v>
      </x:c>
      <x:c r="L4" s="93" t="str">
        <x:v>卷页/档号/图像定位</x:v>
      </x:c>
      <x:c r="M4" s="93" t="str">
        <x:v>支持引文</x:v>
      </x:c>
      <x:c r="N4" s="93" t="str">
        <x:v>证据立场</x:v>
      </x:c>
      <x:c r="O4" s="93" t="str">
        <x:v>证据直接性</x:v>
      </x:c>
      <x:c r="P4" s="93" t="str">
        <x:v>证据强度</x:v>
      </x:c>
      <x:c r="Q4" s="93" t="str">
        <x:v>来源家族 ID</x:v>
      </x:c>
      <x:c r="R4" s="93" t="str">
        <x:v>冲突组 ID</x:v>
      </x:c>
      <x:c r="S4" s="93" t="str">
        <x:v>获取方式</x:v>
      </x:c>
      <x:c r="T4" s="93" t="str">
        <x:v>录入人</x:v>
      </x:c>
      <x:c r="U4" s="93" t="str">
        <x:v>复核人</x:v>
      </x:c>
      <x:c r="V4" s="94" t="str">
        <x:v>编辑备注</x:v>
      </x:c>
    </x:row>
    <x:row r="5" ht="32" customHeight="1">
      <x:c r="A5" s="109" t="str">
        <x:v>QH-A-KX-0001</x:v>
      </x:c>
      <x:c r="B5" s="109" t="str">
        <x:v>事件发生</x:v>
      </x:c>
      <x:c r="C5" s="109" t="str">
        <x:v>QH-P-000001</x:v>
      </x:c>
      <x:c r="D5" s="109" t="str">
        <x:v>accession_occurred</x:v>
      </x:c>
      <x:c r="E5" s="109" t="str">
        <x:v>即皇帝位</x:v>
      </x:c>
      <x:c r="F5" s="109" t="str">
        <x:v>顺治十八年正月初九日</x:v>
      </x:c>
      <x:c r="G5" s="111" t="str"/>
      <x:c r="H5" s="111" t="str"/>
      <x:c r="I5" s="109" t="str">
        <x:v>确定</x:v>
      </x:c>
      <x:c r="J5" s="109" t="str">
        <x:v>审核中</x:v>
      </x:c>
      <x:c r="K5" s="109" t="str">
        <x:v>QH-SU-KX-0001</x:v>
      </x:c>
      <x:c r="L5" s="109" t="str">
        <x:v>卷1；顺治十八年正月初九日；1/3</x:v>
      </x:c>
      <x:c r="M5" s="109" t="str">
        <x:v>上即皇帝位</x:v>
      </x:c>
      <x:c r="N5" s="109" t="str">
        <x:v>支持</x:v>
      </x:c>
      <x:c r="O5" s="109" t="str">
        <x:v>明确记载</x:v>
      </x:c>
      <x:c r="P5" s="109" t="str">
        <x:v>强</x:v>
      </x:c>
      <x:c r="Q5" s="109" t="str">
        <x:v>QH-SF-QSL-KX</x:v>
      </x:c>
      <x:c r="R5" s="109" t="str"/>
      <x:c r="S5" s="109" t="str">
        <x:v>结构化导入</x:v>
      </x:c>
      <x:c r="T5" s="109" t="str">
        <x:v>AI</x:v>
      </x:c>
      <x:c r="U5" s="109" t="str"/>
      <x:c r="V5" s="109" t="str">
        <x:v>只证明该实录版本的即位记录；公历精确日期尚未换算</x:v>
      </x:c>
    </x:row>
    <x:row r="6" ht="32" customHeight="1">
      <x:c r="A6" s="110" t="str">
        <x:v>QH-A-KX-0002</x:v>
      </x:c>
      <x:c r="B6" s="110" t="str">
        <x:v>文字或数值陈述</x:v>
      </x:c>
      <x:c r="C6" s="110" t="str">
        <x:v>QH-P-000001</x:v>
      </x:c>
      <x:c r="D6" s="110" t="str">
        <x:v>ritual_self_designation</x:v>
      </x:c>
      <x:c r="E6" s="110" t="str">
        <x:v>皇太子臣玄烨</x:v>
      </x:c>
      <x:c r="F6" s="110" t="str">
        <x:v>顺治十八年正月初九日</x:v>
      </x:c>
      <x:c r="G6" s="112" t="str"/>
      <x:c r="H6" s="112" t="str"/>
      <x:c r="I6" s="110" t="str">
        <x:v>确定</x:v>
      </x:c>
      <x:c r="J6" s="110" t="str">
        <x:v>审核中</x:v>
      </x:c>
      <x:c r="K6" s="110" t="str">
        <x:v>QH-SU-KX-0001</x:v>
      </x:c>
      <x:c r="L6" s="110" t="str">
        <x:v>卷1；祭告昊天祝文</x:v>
      </x:c>
      <x:c r="M6" s="110" t="str">
        <x:v>皇太子臣玄燁</x:v>
      </x:c>
      <x:c r="N6" s="110" t="str">
        <x:v>支持</x:v>
      </x:c>
      <x:c r="O6" s="110" t="str">
        <x:v>明确记载</x:v>
      </x:c>
      <x:c r="P6" s="110" t="str">
        <x:v>强</x:v>
      </x:c>
      <x:c r="Q6" s="110" t="str">
        <x:v>QH-SF-QSL-KX</x:v>
      </x:c>
      <x:c r="R6" s="110" t="str"/>
      <x:c r="S6" s="110" t="str">
        <x:v>结构化导入</x:v>
      </x:c>
      <x:c r="T6" s="110" t="str">
        <x:v>AI</x:v>
      </x:c>
      <x:c r="U6" s="110" t="str"/>
      <x:c r="V6" s="110" t="str">
        <x:v>记录祝文中的当时自称；不是永久称号</x:v>
      </x:c>
    </x:row>
    <x:row r="7" ht="32" customHeight="1">
      <x:c r="A7" s="110" t="str">
        <x:v>QH-A-KX-0003</x:v>
      </x:c>
      <x:c r="B7" s="110" t="str">
        <x:v>文字或数值陈述</x:v>
      </x:c>
      <x:c r="C7" s="110" t="str">
        <x:v>QH-P-000001</x:v>
      </x:c>
      <x:c r="D7" s="110" t="str">
        <x:v>accession_justification</x:v>
      </x:c>
      <x:c r="E7" s="110" t="str">
        <x:v>恪遵遗诏并俯徇舆情</x:v>
      </x:c>
      <x:c r="F7" s="110" t="str">
        <x:v>顺治十八年正月初九日</x:v>
      </x:c>
      <x:c r="G7" s="112" t="str"/>
      <x:c r="H7" s="112" t="str"/>
      <x:c r="I7" s="110" t="str">
        <x:v>确定</x:v>
      </x:c>
      <x:c r="J7" s="110" t="str">
        <x:v>审核中</x:v>
      </x:c>
      <x:c r="K7" s="110" t="str">
        <x:v>QH-SU-KX-0001</x:v>
      </x:c>
      <x:c r="L7" s="110" t="str">
        <x:v>卷1；祭告昊天祝文</x:v>
      </x:c>
      <x:c r="M7" s="110" t="str">
        <x:v>臣恪遵遺詔</x:v>
      </x:c>
      <x:c r="N7" s="110" t="str">
        <x:v>支持</x:v>
      </x:c>
      <x:c r="O7" s="110" t="str">
        <x:v>明确记载</x:v>
      </x:c>
      <x:c r="P7" s="110" t="str">
        <x:v>强</x:v>
      </x:c>
      <x:c r="Q7" s="110" t="str">
        <x:v>QH-SF-QSL-KX</x:v>
      </x:c>
      <x:c r="R7" s="110" t="str"/>
      <x:c r="S7" s="110" t="str">
        <x:v>结构化导入</x:v>
      </x:c>
      <x:c r="T7" s="110" t="str">
        <x:v>AI</x:v>
      </x:c>
      <x:c r="U7" s="110" t="str"/>
      <x:c r="V7" s="110" t="str">
        <x:v>这是即位文本的制度性自述；遗诏原件和形成过程另建证据</x:v>
      </x:c>
    </x:row>
    <x:row r="8" ht="32" customHeight="1">
      <x:c r="A8" s="110" t="str">
        <x:v>QH-A-KX-0004</x:v>
      </x:c>
      <x:c r="B8" s="110" t="str">
        <x:v>事件参与</x:v>
      </x:c>
      <x:c r="C8" s="110" t="str">
        <x:v>QH-P-000001</x:v>
      </x:c>
      <x:c r="D8" s="110" t="str">
        <x:v>delegated_heaven_announcement</x:v>
      </x:c>
      <x:c r="E8" s="110" t="str">
        <x:v>穆琛祭告昊天上帝</x:v>
      </x:c>
      <x:c r="F8" s="110" t="str">
        <x:v>顺治十八年正月初九日黎明</x:v>
      </x:c>
      <x:c r="G8" s="112" t="str"/>
      <x:c r="H8" s="112" t="str"/>
      <x:c r="I8" s="110" t="str">
        <x:v>确定</x:v>
      </x:c>
      <x:c r="J8" s="110" t="str">
        <x:v>审核中</x:v>
      </x:c>
      <x:c r="K8" s="110" t="str">
        <x:v>QH-SU-KX-0001</x:v>
      </x:c>
      <x:c r="L8" s="110" t="str">
        <x:v>卷1；即位礼仪段</x:v>
      </x:c>
      <x:c r="M8" s="110" t="str">
        <x:v>穆琛祭告昊天上帝</x:v>
      </x:c>
      <x:c r="N8" s="110" t="str">
        <x:v>支持</x:v>
      </x:c>
      <x:c r="O8" s="110" t="str">
        <x:v>明确记载</x:v>
      </x:c>
      <x:c r="P8" s="110" t="str">
        <x:v>强</x:v>
      </x:c>
      <x:c r="Q8" s="110" t="str">
        <x:v>QH-SF-QSL-KX</x:v>
      </x:c>
      <x:c r="R8" s="110" t="str"/>
      <x:c r="S8" s="110" t="str">
        <x:v>结构化导入</x:v>
      </x:c>
      <x:c r="T8" s="110" t="str">
        <x:v>AI</x:v>
      </x:c>
      <x:c r="U8" s="110" t="str"/>
      <x:c r="V8" s="110" t="str">
        <x:v>穆琛尚未建立稳定人物ID；暂存字面值</x:v>
      </x:c>
    </x:row>
    <x:row r="9" ht="32" customHeight="1">
      <x:c r="A9" s="110" t="str">
        <x:v>QH-A-KX-0005</x:v>
      </x:c>
      <x:c r="B9" s="110" t="str">
        <x:v>事件参与</x:v>
      </x:c>
      <x:c r="C9" s="110" t="str">
        <x:v>QH-P-000001</x:v>
      </x:c>
      <x:c r="D9" s="110" t="str">
        <x:v>delegated_earth_announcement</x:v>
      </x:c>
      <x:c r="E9" s="110" t="str">
        <x:v>济世哈告地祇</x:v>
      </x:c>
      <x:c r="F9" s="110" t="str">
        <x:v>顺治十八年正月初九日</x:v>
      </x:c>
      <x:c r="G9" s="112" t="str"/>
      <x:c r="H9" s="112" t="str"/>
      <x:c r="I9" s="110" t="str">
        <x:v>确定</x:v>
      </x:c>
      <x:c r="J9" s="110" t="str">
        <x:v>审核中</x:v>
      </x:c>
      <x:c r="K9" s="110" t="str">
        <x:v>QH-SU-KX-0001</x:v>
      </x:c>
      <x:c r="L9" s="110" t="str">
        <x:v>卷1；即位礼仪段</x:v>
      </x:c>
      <x:c r="M9" s="110" t="str">
        <x:v>濟世哈告地祇</x:v>
      </x:c>
      <x:c r="N9" s="110" t="str">
        <x:v>支持</x:v>
      </x:c>
      <x:c r="O9" s="110" t="str">
        <x:v>明确记载</x:v>
      </x:c>
      <x:c r="P9" s="110" t="str">
        <x:v>强</x:v>
      </x:c>
      <x:c r="Q9" s="110" t="str">
        <x:v>QH-SF-QSL-KX</x:v>
      </x:c>
      <x:c r="R9" s="110" t="str"/>
      <x:c r="S9" s="110" t="str">
        <x:v>结构化导入</x:v>
      </x:c>
      <x:c r="T9" s="110" t="str">
        <x:v>AI</x:v>
      </x:c>
      <x:c r="U9" s="110" t="str"/>
      <x:c r="V9" s="110" t="str">
        <x:v>济世哈尚未建立稳定人物ID；暂存字面值</x:v>
      </x:c>
    </x:row>
    <x:row r="10" ht="32" customHeight="1">
      <x:c r="A10" s="110" t="str">
        <x:v>QH-A-KX-0006</x:v>
      </x:c>
      <x:c r="B10" s="110" t="str">
        <x:v>事件参与</x:v>
      </x:c>
      <x:c r="C10" s="110" t="str">
        <x:v>QH-P-000001</x:v>
      </x:c>
      <x:c r="D10" s="110" t="str">
        <x:v>delegated_ancestral_temple_announcement</x:v>
      </x:c>
      <x:c r="E10" s="110" t="str">
        <x:v>穆里玛告太庙</x:v>
      </x:c>
      <x:c r="F10" s="110" t="str">
        <x:v>顺治十八年正月初九日</x:v>
      </x:c>
      <x:c r="G10" s="112" t="str"/>
      <x:c r="H10" s="112" t="str"/>
      <x:c r="I10" s="110" t="str">
        <x:v>确定</x:v>
      </x:c>
      <x:c r="J10" s="110" t="str">
        <x:v>审核中</x:v>
      </x:c>
      <x:c r="K10" s="110" t="str">
        <x:v>QH-SU-KX-0001</x:v>
      </x:c>
      <x:c r="L10" s="110" t="str">
        <x:v>卷1；即位礼仪段</x:v>
      </x:c>
      <x:c r="M10" s="110" t="str">
        <x:v>穆里瑪告太廟</x:v>
      </x:c>
      <x:c r="N10" s="110" t="str">
        <x:v>支持</x:v>
      </x:c>
      <x:c r="O10" s="110" t="str">
        <x:v>明确记载</x:v>
      </x:c>
      <x:c r="P10" s="110" t="str">
        <x:v>强</x:v>
      </x:c>
      <x:c r="Q10" s="110" t="str">
        <x:v>QH-SF-QSL-KX</x:v>
      </x:c>
      <x:c r="R10" s="110" t="str"/>
      <x:c r="S10" s="110" t="str">
        <x:v>结构化导入</x:v>
      </x:c>
      <x:c r="T10" s="110" t="str">
        <x:v>AI</x:v>
      </x:c>
      <x:c r="U10" s="110" t="str"/>
      <x:c r="V10" s="110" t="str">
        <x:v>穆里玛尚未建立稳定人物ID；暂存字面值</x:v>
      </x:c>
    </x:row>
    <x:row r="11" ht="32" customHeight="1">
      <x:c r="A11" s="110" t="str">
        <x:v>QH-A-KX-0007</x:v>
      </x:c>
      <x:c r="B11" s="110" t="str">
        <x:v>事件参与</x:v>
      </x:c>
      <x:c r="C11" s="110" t="str">
        <x:v>QH-P-000001</x:v>
      </x:c>
      <x:c r="D11" s="110" t="str">
        <x:v>delegated_altars_announcement</x:v>
      </x:c>
      <x:c r="E11" s="110" t="str">
        <x:v>明安达礼告社稷</x:v>
      </x:c>
      <x:c r="F11" s="110" t="str">
        <x:v>顺治十八年正月初九日</x:v>
      </x:c>
      <x:c r="G11" s="112" t="str"/>
      <x:c r="H11" s="112" t="str"/>
      <x:c r="I11" s="110" t="str">
        <x:v>确定</x:v>
      </x:c>
      <x:c r="J11" s="110" t="str">
        <x:v>审核中</x:v>
      </x:c>
      <x:c r="K11" s="110" t="str">
        <x:v>QH-SU-KX-0001</x:v>
      </x:c>
      <x:c r="L11" s="110" t="str">
        <x:v>卷1；即位礼仪段</x:v>
      </x:c>
      <x:c r="M11" s="110" t="str">
        <x:v>明安達禮告社稷</x:v>
      </x:c>
      <x:c r="N11" s="110" t="str">
        <x:v>支持</x:v>
      </x:c>
      <x:c r="O11" s="110" t="str">
        <x:v>明确记载</x:v>
      </x:c>
      <x:c r="P11" s="110" t="str">
        <x:v>强</x:v>
      </x:c>
      <x:c r="Q11" s="110" t="str">
        <x:v>QH-SF-QSL-KX</x:v>
      </x:c>
      <x:c r="R11" s="110" t="str"/>
      <x:c r="S11" s="110" t="str">
        <x:v>结构化导入</x:v>
      </x:c>
      <x:c r="T11" s="110" t="str">
        <x:v>AI</x:v>
      </x:c>
      <x:c r="U11" s="110" t="str"/>
      <x:c r="V11" s="110" t="str">
        <x:v>明安达礼尚未建立稳定人物ID；暂存字面值</x:v>
      </x:c>
    </x:row>
    <x:row r="12" ht="32" customHeight="1">
      <x:c r="A12" s="110" t="str">
        <x:v>QH-A-KX-0008</x:v>
      </x:c>
      <x:c r="B12" s="110" t="str">
        <x:v>事件发生</x:v>
      </x:c>
      <x:c r="C12" s="110" t="str">
        <x:v>QH-P-000001</x:v>
      </x:c>
      <x:c r="D12" s="110" t="str">
        <x:v>performed_mourning_ritual</x:v>
      </x:c>
      <x:c r="E12" s="110" t="str">
        <x:v>在大行皇帝几筵前行三跪九叩礼</x:v>
      </x:c>
      <x:c r="F12" s="110" t="str">
        <x:v>顺治十八年正月初九日</x:v>
      </x:c>
      <x:c r="G12" s="112" t="str"/>
      <x:c r="H12" s="112" t="str"/>
      <x:c r="I12" s="110" t="str">
        <x:v>确定</x:v>
      </x:c>
      <x:c r="J12" s="110" t="str">
        <x:v>审核中</x:v>
      </x:c>
      <x:c r="K12" s="110" t="str">
        <x:v>QH-SU-KX-0001</x:v>
      </x:c>
      <x:c r="L12" s="110" t="str">
        <x:v>卷1；即位礼仪段</x:v>
      </x:c>
      <x:c r="M12" s="110" t="str">
        <x:v>行三跪九叩禮</x:v>
      </x:c>
      <x:c r="N12" s="110" t="str">
        <x:v>支持</x:v>
      </x:c>
      <x:c r="O12" s="110" t="str">
        <x:v>明确记载</x:v>
      </x:c>
      <x:c r="P12" s="110" t="str">
        <x:v>强</x:v>
      </x:c>
      <x:c r="Q12" s="110" t="str">
        <x:v>QH-SF-QSL-KX</x:v>
      </x:c>
      <x:c r="R12" s="110" t="str"/>
      <x:c r="S12" s="110" t="str">
        <x:v>结构化导入</x:v>
      </x:c>
      <x:c r="T12" s="110" t="str">
        <x:v>AI</x:v>
      </x:c>
      <x:c r="U12" s="110" t="str"/>
      <x:c r="V12" s="110" t="str">
        <x:v>礼仪动作与政治继承事件分层保存</x:v>
      </x:c>
    </x:row>
    <x:row r="13" ht="32" customHeight="1">
      <x:c r="A13" s="110" t="str">
        <x:v>QH-A-KX-0009</x:v>
      </x:c>
      <x:c r="B13" s="110" t="str">
        <x:v>事件发生</x:v>
      </x:c>
      <x:c r="C13" s="110" t="str">
        <x:v>QH-P-000001</x:v>
      </x:c>
      <x:c r="D13" s="110" t="str">
        <x:v>paid_respects_to_empress_dowager</x:v>
      </x:c>
      <x:c r="E13" s="110" t="str">
        <x:v>赴皇太后宫行礼</x:v>
      </x:c>
      <x:c r="F13" s="110" t="str">
        <x:v>顺治十八年正月初九日</x:v>
      </x:c>
      <x:c r="G13" s="112" t="str"/>
      <x:c r="H13" s="112" t="str"/>
      <x:c r="I13" s="110" t="str">
        <x:v>确定</x:v>
      </x:c>
      <x:c r="J13" s="110" t="str">
        <x:v>审核中</x:v>
      </x:c>
      <x:c r="K13" s="110" t="str">
        <x:v>QH-SU-KX-0001</x:v>
      </x:c>
      <x:c r="L13" s="110" t="str">
        <x:v>卷1；即位礼仪段</x:v>
      </x:c>
      <x:c r="M13" s="110" t="str">
        <x:v>詣皇太后宮行禮</x:v>
      </x:c>
      <x:c r="N13" s="110" t="str">
        <x:v>支持</x:v>
      </x:c>
      <x:c r="O13" s="110" t="str">
        <x:v>明确记载</x:v>
      </x:c>
      <x:c r="P13" s="110" t="str">
        <x:v>强</x:v>
      </x:c>
      <x:c r="Q13" s="110" t="str">
        <x:v>QH-SF-QSL-KX</x:v>
      </x:c>
      <x:c r="R13" s="110" t="str"/>
      <x:c r="S13" s="110" t="str">
        <x:v>结构化导入</x:v>
      </x:c>
      <x:c r="T13" s="110" t="str">
        <x:v>AI</x:v>
      </x:c>
      <x:c r="U13" s="110" t="str"/>
      <x:c r="V13" s="110" t="str">
        <x:v>该条本身未在此处展开皇太后具体人物认定</x:v>
      </x:c>
    </x:row>
    <x:row r="14" ht="32" customHeight="1">
      <x:c r="A14" s="110" t="str">
        <x:v>QH-A-KX-0010</x:v>
      </x:c>
      <x:c r="B14" s="110" t="str">
        <x:v>事件发生</x:v>
      </x:c>
      <x:c r="C14" s="110" t="str">
        <x:v>QH-P-000001</x:v>
      </x:c>
      <x:c r="D14" s="110" t="str">
        <x:v>ascended_throne_at</x:v>
      </x:c>
      <x:c r="E14" s="110" t="str">
        <x:v>太和殿</x:v>
      </x:c>
      <x:c r="F14" s="110" t="str">
        <x:v>顺治十八年正月初九日</x:v>
      </x:c>
      <x:c r="G14" s="112" t="str"/>
      <x:c r="H14" s="112" t="str"/>
      <x:c r="I14" s="110" t="str">
        <x:v>确定</x:v>
      </x:c>
      <x:c r="J14" s="110" t="str">
        <x:v>审核中</x:v>
      </x:c>
      <x:c r="K14" s="110" t="str">
        <x:v>QH-SU-KX-0001</x:v>
      </x:c>
      <x:c r="L14" s="110" t="str">
        <x:v>卷1；即位礼仪段</x:v>
      </x:c>
      <x:c r="M14" s="110" t="str">
        <x:v>御太和殿陞寶座</x:v>
      </x:c>
      <x:c r="N14" s="110" t="str">
        <x:v>支持</x:v>
      </x:c>
      <x:c r="O14" s="110" t="str">
        <x:v>明确记载</x:v>
      </x:c>
      <x:c r="P14" s="110" t="str">
        <x:v>强</x:v>
      </x:c>
      <x:c r="Q14" s="110" t="str">
        <x:v>QH-SF-QSL-KX</x:v>
      </x:c>
      <x:c r="R14" s="110" t="str"/>
      <x:c r="S14" s="110" t="str">
        <x:v>结构化导入</x:v>
      </x:c>
      <x:c r="T14" s="110" t="str">
        <x:v>AI</x:v>
      </x:c>
      <x:c r="U14" s="110" t="str"/>
      <x:c r="V14" s="110" t="str">
        <x:v>地点实体和建筑沿革待另建</x:v>
      </x:c>
    </x:row>
    <x:row r="15" ht="32" customHeight="1">
      <x:c r="A15" s="110" t="str">
        <x:v>QH-A-KX-0011</x:v>
      </x:c>
      <x:c r="B15" s="110" t="str">
        <x:v>文字或数值陈述</x:v>
      </x:c>
      <x:c r="C15" s="110" t="str">
        <x:v>QH-P-000001</x:v>
      </x:c>
      <x:c r="D15" s="110" t="str">
        <x:v>ceremonial_music_status</x:v>
      </x:c>
      <x:c r="E15" s="110" t="str">
        <x:v>中和乐设置但不演奏</x:v>
      </x:c>
      <x:c r="F15" s="110" t="str">
        <x:v>顺治十八年正月初九日</x:v>
      </x:c>
      <x:c r="G15" s="112" t="str"/>
      <x:c r="H15" s="112" t="str"/>
      <x:c r="I15" s="110" t="str">
        <x:v>确定</x:v>
      </x:c>
      <x:c r="J15" s="110" t="str">
        <x:v>审核中</x:v>
      </x:c>
      <x:c r="K15" s="110" t="str">
        <x:v>QH-SU-KX-0001</x:v>
      </x:c>
      <x:c r="L15" s="110" t="str">
        <x:v>卷1；即位礼仪段</x:v>
      </x:c>
      <x:c r="M15" s="110" t="str">
        <x:v>中和樂設而不作</x:v>
      </x:c>
      <x:c r="N15" s="110" t="str">
        <x:v>支持</x:v>
      </x:c>
      <x:c r="O15" s="110" t="str">
        <x:v>明确记载</x:v>
      </x:c>
      <x:c r="P15" s="110" t="str">
        <x:v>强</x:v>
      </x:c>
      <x:c r="Q15" s="110" t="str">
        <x:v>QH-SF-QSL-KX</x:v>
      </x:c>
      <x:c r="R15" s="110" t="str"/>
      <x:c r="S15" s="110" t="str">
        <x:v>结构化导入</x:v>
      </x:c>
      <x:c r="T15" s="110" t="str">
        <x:v>AI</x:v>
      </x:c>
      <x:c r="U15" s="110" t="str"/>
      <x:c r="V15" s="110" t="str">
        <x:v>与服丧情境相关；解释需礼制来源</x:v>
      </x:c>
    </x:row>
    <x:row r="16" ht="32" customHeight="1">
      <x:c r="A16" s="110" t="str">
        <x:v>QH-A-KX-0012</x:v>
      </x:c>
      <x:c r="B16" s="110" t="str">
        <x:v>事件发生</x:v>
      </x:c>
      <x:c r="C16" s="110" t="str">
        <x:v>QH-P-000001</x:v>
      </x:c>
      <x:c r="D16" s="110" t="str">
        <x:v>waived_congratulatory_memorial</x:v>
      </x:c>
      <x:c r="E16" s="110" t="str">
        <x:v>免宣贺表</x:v>
      </x:c>
      <x:c r="F16" s="110" t="str">
        <x:v>顺治十八年正月初九日</x:v>
      </x:c>
      <x:c r="G16" s="112" t="str"/>
      <x:c r="H16" s="112" t="str"/>
      <x:c r="I16" s="110" t="str">
        <x:v>确定</x:v>
      </x:c>
      <x:c r="J16" s="110" t="str">
        <x:v>审核中</x:v>
      </x:c>
      <x:c r="K16" s="110" t="str">
        <x:v>QH-SU-KX-0001</x:v>
      </x:c>
      <x:c r="L16" s="110" t="str">
        <x:v>卷1；即位礼仪段</x:v>
      </x:c>
      <x:c r="M16" s="110" t="str">
        <x:v>上命免宣賀表</x:v>
      </x:c>
      <x:c r="N16" s="110" t="str">
        <x:v>支持</x:v>
      </x:c>
      <x:c r="O16" s="110" t="str">
        <x:v>明确记载</x:v>
      </x:c>
      <x:c r="P16" s="110" t="str">
        <x:v>强</x:v>
      </x:c>
      <x:c r="Q16" s="110" t="str">
        <x:v>QH-SF-QSL-KX</x:v>
      </x:c>
      <x:c r="R16" s="110" t="str"/>
      <x:c r="S16" s="110" t="str">
        <x:v>结构化导入</x:v>
      </x:c>
      <x:c r="T16" s="110" t="str">
        <x:v>AI</x:v>
      </x:c>
      <x:c r="U16" s="110" t="str"/>
      <x:c r="V16" s="110" t="str">
        <x:v>不推定免除原因；只记录命令</x:v>
      </x:c>
    </x:row>
    <x:row r="17" ht="32" customHeight="1">
      <x:c r="A17" s="110" t="str">
        <x:v>QH-A-KX-0013</x:v>
      </x:c>
      <x:c r="B17" s="110" t="str">
        <x:v>事件发生</x:v>
      </x:c>
      <x:c r="C17" s="110" t="str">
        <x:v>QH-P-000001</x:v>
      </x:c>
      <x:c r="D17" s="110" t="str">
        <x:v>issued_general_amnesty</x:v>
      </x:c>
      <x:c r="E17" s="110" t="str">
        <x:v>颁诏大赦</x:v>
      </x:c>
      <x:c r="F17" s="110" t="str">
        <x:v>顺治十八年正月初九日</x:v>
      </x:c>
      <x:c r="G17" s="112" t="str"/>
      <x:c r="H17" s="112" t="str"/>
      <x:c r="I17" s="110" t="str">
        <x:v>确定</x:v>
      </x:c>
      <x:c r="J17" s="110" t="str">
        <x:v>审核中</x:v>
      </x:c>
      <x:c r="K17" s="110" t="str">
        <x:v>QH-SU-KX-0001</x:v>
      </x:c>
      <x:c r="L17" s="110" t="str">
        <x:v>卷1；即位礼仪段</x:v>
      </x:c>
      <x:c r="M17" s="110" t="str">
        <x:v>頒詔大赦</x:v>
      </x:c>
      <x:c r="N17" s="110" t="str">
        <x:v>支持</x:v>
      </x:c>
      <x:c r="O17" s="110" t="str">
        <x:v>明确记载</x:v>
      </x:c>
      <x:c r="P17" s="110" t="str">
        <x:v>强</x:v>
      </x:c>
      <x:c r="Q17" s="110" t="str">
        <x:v>QH-SF-QSL-KX</x:v>
      </x:c>
      <x:c r="R17" s="110" t="str"/>
      <x:c r="S17" s="110" t="str">
        <x:v>结构化导入</x:v>
      </x:c>
      <x:c r="T17" s="110" t="str">
        <x:v>AI</x:v>
      </x:c>
      <x:c r="U17" s="110" t="str"/>
      <x:c r="V17" s="110" t="str">
        <x:v>赦免具体范围需继续拆解诏文</x:v>
      </x:c>
    </x:row>
    <x:row r="18" ht="32" customHeight="1">
      <x:c r="A18" s="110" t="str">
        <x:v>QH-A-KX-0014</x:v>
      </x:c>
      <x:c r="B18" s="110" t="str">
        <x:v>称号授予</x:v>
      </x:c>
      <x:c r="C18" s="110" t="str">
        <x:v>QH-P-000001</x:v>
      </x:c>
      <x:c r="D18" s="110" t="str">
        <x:v>announced_next_reign_era</x:v>
      </x:c>
      <x:c r="E18" s="110" t="str">
        <x:v>明年为康熙元年</x:v>
      </x:c>
      <x:c r="F18" s="110" t="str">
        <x:v>顺治十八年正月初九日</x:v>
      </x:c>
      <x:c r="G18" s="112" t="str"/>
      <x:c r="H18" s="112" t="str"/>
      <x:c r="I18" s="110" t="str">
        <x:v>确定</x:v>
      </x:c>
      <x:c r="J18" s="110" t="str">
        <x:v>审核中</x:v>
      </x:c>
      <x:c r="K18" s="110" t="str">
        <x:v>QH-SU-KX-0001</x:v>
      </x:c>
      <x:c r="L18" s="110" t="str">
        <x:v>卷1；即位诏</x:v>
      </x:c>
      <x:c r="M18" s="110" t="str">
        <x:v>以明年為康熙元年</x:v>
      </x:c>
      <x:c r="N18" s="110" t="str">
        <x:v>支持</x:v>
      </x:c>
      <x:c r="O18" s="110" t="str">
        <x:v>明确记载</x:v>
      </x:c>
      <x:c r="P18" s="110" t="str">
        <x:v>强</x:v>
      </x:c>
      <x:c r="Q18" s="110" t="str">
        <x:v>QH-SF-QSL-KX</x:v>
      </x:c>
      <x:c r="R18" s="110" t="str"/>
      <x:c r="S18" s="110" t="str">
        <x:v>结构化导入</x:v>
      </x:c>
      <x:c r="T18" s="110" t="str">
        <x:v>AI</x:v>
      </x:c>
      <x:c r="U18" s="110" t="str"/>
      <x:c r="V18" s="110" t="str">
        <x:v>证明即位发生于顺治十八年而康熙纪年自下一年起；两种年份口径不可混写</x:v>
      </x:c>
    </x:row>
    <x:row r="19" ht="32" customHeight="1">
      <x:c r="A19" s="110" t="str">
        <x:v>QH-A-KX-0015</x:v>
      </x:c>
      <x:c r="B19" s="110" t="str">
        <x:v>文字或数值陈述</x:v>
      </x:c>
      <x:c r="C19" s="110" t="str">
        <x:v>QH-P-000001</x:v>
      </x:c>
      <x:c r="D19" s="110" t="str">
        <x:v>testament_self_reported_reign_length</x:v>
      </x:c>
      <x:c r="E19" s="110" t="str">
        <x:v>六十一年</x:v>
      </x:c>
      <x:c r="F19" s="110" t="str">
        <x:v>康熙六十一年十一月十三日</x:v>
      </x:c>
      <x:c r="G19" s="112" t="str"/>
      <x:c r="H19" s="112" t="str"/>
      <x:c r="I19" s="110" t="str">
        <x:v>确定</x:v>
      </x:c>
      <x:c r="J19" s="110" t="str">
        <x:v>审核中</x:v>
      </x:c>
      <x:c r="K19" s="110" t="str">
        <x:v>QH-SU-KX-0300</x:v>
      </x:c>
      <x:c r="L19" s="110" t="str">
        <x:v>卷300；遗诏开篇</x:v>
      </x:c>
      <x:c r="M19" s="110" t="str">
        <x:v>在位六十一年</x:v>
      </x:c>
      <x:c r="N19" s="110" t="str">
        <x:v>支持</x:v>
      </x:c>
      <x:c r="O19" s="110" t="str">
        <x:v>明确记载</x:v>
      </x:c>
      <x:c r="P19" s="110" t="str">
        <x:v>强</x:v>
      </x:c>
      <x:c r="Q19" s="110" t="str">
        <x:v>QH-SF-QSL-KX</x:v>
      </x:c>
      <x:c r="R19" s="110" t="str"/>
      <x:c r="S19" s="110" t="str">
        <x:v>结构化导入</x:v>
      </x:c>
      <x:c r="T19" s="110" t="str">
        <x:v>AI</x:v>
      </x:c>
      <x:c r="U19" s="110" t="str"/>
      <x:c r="V19" s="110" t="str">
        <x:v>证明遗诏文本如此自述；不是现代公历时长计算</x:v>
      </x:c>
    </x:row>
    <x:row r="20" ht="32" customHeight="1">
      <x:c r="A20" s="110" t="str">
        <x:v>QH-A-KX-0016</x:v>
      </x:c>
      <x:c r="B20" s="110" t="str">
        <x:v>文字或数值陈述</x:v>
      </x:c>
      <x:c r="C20" s="110" t="str">
        <x:v>QH-P-000001</x:v>
      </x:c>
      <x:c r="D20" s="110" t="str">
        <x:v>testament_self_reported_age</x:v>
      </x:c>
      <x:c r="E20" s="110" t="str">
        <x:v>年届七旬</x:v>
      </x:c>
      <x:c r="F20" s="110" t="str">
        <x:v>康熙六十一年十一月十三日</x:v>
      </x:c>
      <x:c r="G20" s="112" t="str"/>
      <x:c r="H20" s="112" t="str"/>
      <x:c r="I20" s="110" t="str">
        <x:v>确定</x:v>
      </x:c>
      <x:c r="J20" s="110" t="str">
        <x:v>审核中</x:v>
      </x:c>
      <x:c r="K20" s="110" t="str">
        <x:v>QH-SU-KX-0300</x:v>
      </x:c>
      <x:c r="L20" s="110" t="str">
        <x:v>卷300；遗诏开篇</x:v>
      </x:c>
      <x:c r="M20" s="110" t="str">
        <x:v>今朕年屆七旬</x:v>
      </x:c>
      <x:c r="N20" s="110" t="str">
        <x:v>支持</x:v>
      </x:c>
      <x:c r="O20" s="110" t="str">
        <x:v>明确记载</x:v>
      </x:c>
      <x:c r="P20" s="110" t="str">
        <x:v>强</x:v>
      </x:c>
      <x:c r="Q20" s="110" t="str">
        <x:v>QH-SF-QSL-KX</x:v>
      </x:c>
      <x:c r="R20" s="110" t="str"/>
      <x:c r="S20" s="110" t="str">
        <x:v>结构化导入</x:v>
      </x:c>
      <x:c r="T20" s="110" t="str">
        <x:v>AI</x:v>
      </x:c>
      <x:c r="U20" s="110" t="str"/>
      <x:c r="V20" s="110" t="str">
        <x:v>中国传统年龄口径待结合生辰另核</x:v>
      </x:c>
    </x:row>
    <x:row r="21" ht="32" customHeight="1">
      <x:c r="A21" s="110" t="str">
        <x:v>QH-A-KX-0017</x:v>
      </x:c>
      <x:c r="B21" s="110" t="str">
        <x:v>文字或数值陈述</x:v>
      </x:c>
      <x:c r="C21" s="110" t="str">
        <x:v>QH-P-000001</x:v>
      </x:c>
      <x:c r="D21" s="110" t="str">
        <x:v>testament_descendant_count</x:v>
      </x:c>
      <x:c r="E21" s="110" t="str">
        <x:v>子孙一百五十余人</x:v>
      </x:c>
      <x:c r="F21" s="110" t="str">
        <x:v>康熙六十一年十一月十三日</x:v>
      </x:c>
      <x:c r="G21" s="112" t="str"/>
      <x:c r="H21" s="112" t="str"/>
      <x:c r="I21" s="110" t="str">
        <x:v>确定</x:v>
      </x:c>
      <x:c r="J21" s="110" t="str">
        <x:v>审核中</x:v>
      </x:c>
      <x:c r="K21" s="110" t="str">
        <x:v>QH-SU-KX-0300</x:v>
      </x:c>
      <x:c r="L21" s="110" t="str">
        <x:v>卷300；遗诏开篇</x:v>
      </x:c>
      <x:c r="M21" s="110" t="str">
        <x:v>子孫百五十餘人</x:v>
      </x:c>
      <x:c r="N21" s="110" t="str">
        <x:v>支持</x:v>
      </x:c>
      <x:c r="O21" s="110" t="str">
        <x:v>明确记载</x:v>
      </x:c>
      <x:c r="P21" s="110" t="str">
        <x:v>强</x:v>
      </x:c>
      <x:c r="Q21" s="110" t="str">
        <x:v>QH-SF-QSL-KX</x:v>
      </x:c>
      <x:c r="R21" s="110" t="str"/>
      <x:c r="S21" s="110" t="str">
        <x:v>结构化导入</x:v>
      </x:c>
      <x:c r="T21" s="110" t="str">
        <x:v>AI</x:v>
      </x:c>
      <x:c r="U21" s="110" t="str"/>
      <x:c r="V21" s="110" t="str">
        <x:v>这是遗诏自报的合计；范围和具体名单须以玉牒逐项核</x:v>
      </x:c>
    </x:row>
    <x:row r="22" ht="32" customHeight="1">
      <x:c r="A22" s="110" t="str">
        <x:v>QH-A-KX-0018</x:v>
      </x:c>
      <x:c r="B22" s="110" t="str">
        <x:v>文字或数值陈述</x:v>
      </x:c>
      <x:c r="C22" s="110" t="str">
        <x:v>QH-P-000001</x:v>
      </x:c>
      <x:c r="D22" s="110" t="str">
        <x:v>testament_self_reported_learning</x:v>
      </x:c>
      <x:c r="E22" s="110" t="str">
        <x:v>自幼读书并粗通古今道理</x:v>
      </x:c>
      <x:c r="F22" s="110" t="str">
        <x:v>康熙六十一年十一月十三日</x:v>
      </x:c>
      <x:c r="G22" s="112" t="str"/>
      <x:c r="H22" s="112" t="str"/>
      <x:c r="I22" s="110" t="str">
        <x:v>确定</x:v>
      </x:c>
      <x:c r="J22" s="110" t="str">
        <x:v>审核中</x:v>
      </x:c>
      <x:c r="K22" s="110" t="str">
        <x:v>QH-SU-KX-0300</x:v>
      </x:c>
      <x:c r="L22" s="110" t="str">
        <x:v>卷300；遗诏自述段</x:v>
      </x:c>
      <x:c r="M22" s="110" t="str">
        <x:v>朕自幼讀書</x:v>
      </x:c>
      <x:c r="N22" s="110" t="str">
        <x:v>支持</x:v>
      </x:c>
      <x:c r="O22" s="110" t="str">
        <x:v>明确记载</x:v>
      </x:c>
      <x:c r="P22" s="110" t="str">
        <x:v>强</x:v>
      </x:c>
      <x:c r="Q22" s="110" t="str">
        <x:v>QH-SF-QSL-KX</x:v>
      </x:c>
      <x:c r="R22" s="110" t="str"/>
      <x:c r="S22" s="110" t="str">
        <x:v>结构化导入</x:v>
      </x:c>
      <x:c r="T22" s="110" t="str">
        <x:v>AI</x:v>
      </x:c>
      <x:c r="U22" s="110" t="str"/>
      <x:c r="V22" s="110" t="str">
        <x:v>这是自我表述而非独立能力测评</x:v>
      </x:c>
    </x:row>
    <x:row r="23" ht="32" customHeight="1">
      <x:c r="A23" s="110" t="str">
        <x:v>QH-A-KX-0019</x:v>
      </x:c>
      <x:c r="B23" s="110" t="str">
        <x:v>文字或数值陈述</x:v>
      </x:c>
      <x:c r="C23" s="110" t="str">
        <x:v>QH-P-000001</x:v>
      </x:c>
      <x:c r="D23" s="110" t="str">
        <x:v>testament_self_reported_archery</x:v>
      </x:c>
      <x:c r="E23" s="110" t="str">
        <x:v>能弯十五力弓并发十三把箭</x:v>
      </x:c>
      <x:c r="F23" s="110" t="str">
        <x:v>康熙六十一年十一月十三日</x:v>
      </x:c>
      <x:c r="G23" s="112" t="str"/>
      <x:c r="H23" s="112" t="str"/>
      <x:c r="I23" s="110" t="str">
        <x:v>确定</x:v>
      </x:c>
      <x:c r="J23" s="110" t="str">
        <x:v>审核中</x:v>
      </x:c>
      <x:c r="K23" s="110" t="str">
        <x:v>QH-SU-KX-0300</x:v>
      </x:c>
      <x:c r="L23" s="110" t="str">
        <x:v>卷300；遗诏自述段</x:v>
      </x:c>
      <x:c r="M23" s="110" t="str">
        <x:v>能彎十五力弓發十三把箭</x:v>
      </x:c>
      <x:c r="N23" s="110" t="str">
        <x:v>支持</x:v>
      </x:c>
      <x:c r="O23" s="110" t="str">
        <x:v>明确记载</x:v>
      </x:c>
      <x:c r="P23" s="110" t="str">
        <x:v>强</x:v>
      </x:c>
      <x:c r="Q23" s="110" t="str">
        <x:v>QH-SF-QSL-KX</x:v>
      </x:c>
      <x:c r="R23" s="110" t="str"/>
      <x:c r="S23" s="110" t="str">
        <x:v>结构化导入</x:v>
      </x:c>
      <x:c r="T23" s="110" t="str">
        <x:v>AI</x:v>
      </x:c>
      <x:c r="U23" s="110" t="str"/>
      <x:c r="V23" s="110" t="str">
        <x:v>只证明遗诏如此自述；力弓和把箭的度量需专门解释</x:v>
      </x:c>
    </x:row>
    <x:row r="24" ht="32" customHeight="1">
      <x:c r="A24" s="110" t="str">
        <x:v>QH-A-KX-0020</x:v>
      </x:c>
      <x:c r="B24" s="110" t="str">
        <x:v>文字或数值陈述</x:v>
      </x:c>
      <x:c r="C24" s="110" t="str">
        <x:v>QH-P-000001</x:v>
      </x:c>
      <x:c r="D24" s="110" t="str">
        <x:v>testament_claimed_military_planning</x:v>
      </x:c>
      <x:c r="E24" s="110" t="str">
        <x:v>平定三藩和扫清漠北皆由一心运筹</x:v>
      </x:c>
      <x:c r="F24" s="110" t="str">
        <x:v>康熙六十一年十一月十三日</x:v>
      </x:c>
      <x:c r="G24" s="112" t="str"/>
      <x:c r="H24" s="112" t="str"/>
      <x:c r="I24" s="110" t="str">
        <x:v>确定</x:v>
      </x:c>
      <x:c r="J24" s="110" t="str">
        <x:v>审核中</x:v>
      </x:c>
      <x:c r="K24" s="110" t="str">
        <x:v>QH-SU-KX-0300</x:v>
      </x:c>
      <x:c r="L24" s="110" t="str">
        <x:v>卷300；遗诏自评段</x:v>
      </x:c>
      <x:c r="M24" s="110" t="str">
        <x:v>平定三藩掃清漠北</x:v>
      </x:c>
      <x:c r="N24" s="110" t="str">
        <x:v>支持</x:v>
      </x:c>
      <x:c r="O24" s="110" t="str">
        <x:v>明确记载</x:v>
      </x:c>
      <x:c r="P24" s="110" t="str">
        <x:v>强</x:v>
      </x:c>
      <x:c r="Q24" s="110" t="str">
        <x:v>QH-SF-QSL-KX</x:v>
      </x:c>
      <x:c r="R24" s="110" t="str"/>
      <x:c r="S24" s="110" t="str">
        <x:v>结构化导入</x:v>
      </x:c>
      <x:c r="T24" s="110" t="str">
        <x:v>AI</x:v>
      </x:c>
      <x:c r="U24" s="110" t="str"/>
      <x:c r="V24" s="110" t="str">
        <x:v>这是皇帝自评；不能抹去将领官员和地方社会行动</x:v>
      </x:c>
    </x:row>
    <x:row r="25" ht="32" customHeight="1">
      <x:c r="A25" s="110" t="str">
        <x:v>QH-A-KX-0021</x:v>
      </x:c>
      <x:c r="B25" s="110" t="str">
        <x:v>文字或数值陈述</x:v>
      </x:c>
      <x:c r="C25" s="110" t="str">
        <x:v>QH-P-000001</x:v>
      </x:c>
      <x:c r="D25" s="110" t="str">
        <x:v>testament_claimed_treasury_rule</x:v>
      </x:c>
      <x:c r="E25" s="110" t="str">
        <x:v>帑金非用师赈饥不敢妄费</x:v>
      </x:c>
      <x:c r="F25" s="110" t="str">
        <x:v>康熙六十一年十一月十三日</x:v>
      </x:c>
      <x:c r="G25" s="112" t="str"/>
      <x:c r="H25" s="112" t="str"/>
      <x:c r="I25" s="110" t="str">
        <x:v>确定</x:v>
      </x:c>
      <x:c r="J25" s="110" t="str">
        <x:v>审核中</x:v>
      </x:c>
      <x:c r="K25" s="110" t="str">
        <x:v>QH-SU-KX-0300</x:v>
      </x:c>
      <x:c r="L25" s="110" t="str">
        <x:v>卷300；遗诏财政自评段</x:v>
      </x:c>
      <x:c r="M25" s="110" t="str">
        <x:v>非用師賑飢未敢妄費</x:v>
      </x:c>
      <x:c r="N25" s="110" t="str">
        <x:v>支持</x:v>
      </x:c>
      <x:c r="O25" s="110" t="str">
        <x:v>明确记载</x:v>
      </x:c>
      <x:c r="P25" s="110" t="str">
        <x:v>强</x:v>
      </x:c>
      <x:c r="Q25" s="110" t="str">
        <x:v>QH-SF-QSL-KX</x:v>
      </x:c>
      <x:c r="R25" s="110" t="str"/>
      <x:c r="S25" s="110" t="str">
        <x:v>结构化导入</x:v>
      </x:c>
      <x:c r="T25" s="110" t="str">
        <x:v>AI</x:v>
      </x:c>
      <x:c r="U25" s="110" t="str"/>
      <x:c r="V25" s="110" t="str">
        <x:v>政策自评不等于财务审计结论；须与户部档案核对</x:v>
      </x:c>
    </x:row>
    <x:row r="26" ht="32" customHeight="1">
      <x:c r="A26" s="110" t="str">
        <x:v>QH-A-KX-0022</x:v>
      </x:c>
      <x:c r="B26" s="110" t="str">
        <x:v>文字或数值陈述</x:v>
      </x:c>
      <x:c r="C26" s="110" t="str">
        <x:v>QH-P-000001</x:v>
      </x:c>
      <x:c r="D26" s="110" t="str">
        <x:v>testament_claimed_palace_decoration</x:v>
      </x:c>
      <x:c r="E26" s="110" t="str">
        <x:v>巡狩行宫不施彩绘</x:v>
      </x:c>
      <x:c r="F26" s="110" t="str">
        <x:v>康熙六十一年十一月十三日</x:v>
      </x:c>
      <x:c r="G26" s="112" t="str"/>
      <x:c r="H26" s="112" t="str"/>
      <x:c r="I26" s="110" t="str">
        <x:v>确定</x:v>
      </x:c>
      <x:c r="J26" s="110" t="str">
        <x:v>审核中</x:v>
      </x:c>
      <x:c r="K26" s="110" t="str">
        <x:v>QH-SU-KX-0300</x:v>
      </x:c>
      <x:c r="L26" s="110" t="str">
        <x:v>卷300；遗诏财政自评段</x:v>
      </x:c>
      <x:c r="M26" s="110" t="str">
        <x:v>巡狩行宮不施采繪</x:v>
      </x:c>
      <x:c r="N26" s="110" t="str">
        <x:v>支持</x:v>
      </x:c>
      <x:c r="O26" s="110" t="str">
        <x:v>明确记载</x:v>
      </x:c>
      <x:c r="P26" s="110" t="str">
        <x:v>强</x:v>
      </x:c>
      <x:c r="Q26" s="110" t="str">
        <x:v>QH-SF-QSL-KX</x:v>
      </x:c>
      <x:c r="R26" s="110" t="str"/>
      <x:c r="S26" s="110" t="str">
        <x:v>结构化导入</x:v>
      </x:c>
      <x:c r="T26" s="110" t="str">
        <x:v>AI</x:v>
      </x:c>
      <x:c r="U26" s="110" t="str"/>
      <x:c r="V26" s="110" t="str">
        <x:v>证明遗诏文本中的节俭叙事；不外推全部工程</x:v>
      </x:c>
    </x:row>
    <x:row r="27" ht="32" customHeight="1">
      <x:c r="A27" s="110" t="str">
        <x:v>QH-A-KX-0023</x:v>
      </x:c>
      <x:c r="B27" s="110" t="str">
        <x:v>文字或数值陈述</x:v>
      </x:c>
      <x:c r="C27" s="110" t="str">
        <x:v>QH-P-000001</x:v>
      </x:c>
      <x:c r="D27" s="110" t="str">
        <x:v>testament_claimed_palace_annual_cost</x:v>
      </x:c>
      <x:c r="E27" s="110" t="str">
        <x:v>每年一至二万金</x:v>
      </x:c>
      <x:c r="F27" s="110" t="str">
        <x:v>康熙六十一年十一月十三日</x:v>
      </x:c>
      <x:c r="G27" s="112" t="str"/>
      <x:c r="H27" s="112" t="str"/>
      <x:c r="I27" s="110" t="str">
        <x:v>确定</x:v>
      </x:c>
      <x:c r="J27" s="110" t="str">
        <x:v>审核中</x:v>
      </x:c>
      <x:c r="K27" s="110" t="str">
        <x:v>QH-SU-KX-0300</x:v>
      </x:c>
      <x:c r="L27" s="110" t="str">
        <x:v>卷300；遗诏财政自评段</x:v>
      </x:c>
      <x:c r="M27" s="110" t="str">
        <x:v>每歲所費不過一二萬金</x:v>
      </x:c>
      <x:c r="N27" s="110" t="str">
        <x:v>支持</x:v>
      </x:c>
      <x:c r="O27" s="110" t="str">
        <x:v>明确记载</x:v>
      </x:c>
      <x:c r="P27" s="110" t="str">
        <x:v>强</x:v>
      </x:c>
      <x:c r="Q27" s="110" t="str">
        <x:v>QH-SF-QSL-KX</x:v>
      </x:c>
      <x:c r="R27" s="110" t="str"/>
      <x:c r="S27" s="110" t="str">
        <x:v>结构化导入</x:v>
      </x:c>
      <x:c r="T27" s="110" t="str">
        <x:v>AI</x:v>
      </x:c>
      <x:c r="U27" s="110" t="str"/>
      <x:c r="V27" s="110" t="str">
        <x:v>金的会计单位和统计范围待核；不能直接换算现代金额</x:v>
      </x:c>
    </x:row>
    <x:row r="28" ht="32" customHeight="1">
      <x:c r="A28" s="110" t="str">
        <x:v>QH-A-KX-0024</x:v>
      </x:c>
      <x:c r="B28" s="110" t="str">
        <x:v>文字或数值陈述</x:v>
      </x:c>
      <x:c r="C28" s="110" t="str">
        <x:v>QH-P-000001</x:v>
      </x:c>
      <x:c r="D28" s="110" t="str">
        <x:v>testament_claimed_riverworks_annual_cost</x:v>
      </x:c>
      <x:c r="E28" s="110" t="str">
        <x:v>每年三百余万</x:v>
      </x:c>
      <x:c r="F28" s="110" t="str">
        <x:v>康熙六十一年十一月十三日</x:v>
      </x:c>
      <x:c r="G28" s="112" t="str"/>
      <x:c r="H28" s="112" t="str"/>
      <x:c r="I28" s="110" t="str">
        <x:v>确定</x:v>
      </x:c>
      <x:c r="J28" s="110" t="str">
        <x:v>审核中</x:v>
      </x:c>
      <x:c r="K28" s="110" t="str">
        <x:v>QH-SU-KX-0300</x:v>
      </x:c>
      <x:c r="L28" s="110" t="str">
        <x:v>卷300；遗诏财政自评段</x:v>
      </x:c>
      <x:c r="M28" s="110" t="str">
        <x:v>河工歲費三百餘萬</x:v>
      </x:c>
      <x:c r="N28" s="110" t="str">
        <x:v>支持</x:v>
      </x:c>
      <x:c r="O28" s="110" t="str">
        <x:v>明确记载</x:v>
      </x:c>
      <x:c r="P28" s="110" t="str">
        <x:v>强</x:v>
      </x:c>
      <x:c r="Q28" s="110" t="str">
        <x:v>QH-SF-QSL-KX</x:v>
      </x:c>
      <x:c r="R28" s="110" t="str"/>
      <x:c r="S28" s="110" t="str">
        <x:v>结构化导入</x:v>
      </x:c>
      <x:c r="T28" s="110" t="str">
        <x:v>AI</x:v>
      </x:c>
      <x:c r="U28" s="110" t="str"/>
      <x:c r="V28" s="110" t="str">
        <x:v>金额单位和财政范围须回查户部河工档</x:v>
      </x:c>
    </x:row>
    <x:row r="29" ht="32" customHeight="1">
      <x:c r="A29" s="110" t="str">
        <x:v>QH-A-KX-0025</x:v>
      </x:c>
      <x:c r="B29" s="110" t="str">
        <x:v>文字或数值陈述</x:v>
      </x:c>
      <x:c r="C29" s="110" t="str">
        <x:v>QH-P-000001</x:v>
      </x:c>
      <x:c r="D29" s="110" t="str">
        <x:v>testament_requested_clan_protection</x:v>
      </x:c>
      <x:c r="E29" s="110" t="str">
        <x:v>希望身后协心保全礼亲王和饶余王子孙</x:v>
      </x:c>
      <x:c r="F29" s="110" t="str">
        <x:v>康熙六十一年十一月十三日</x:v>
      </x:c>
      <x:c r="G29" s="112" t="str"/>
      <x:c r="H29" s="112" t="str"/>
      <x:c r="I29" s="110" t="str">
        <x:v>确定</x:v>
      </x:c>
      <x:c r="J29" s="110" t="str">
        <x:v>审核中</x:v>
      </x:c>
      <x:c r="K29" s="110" t="str">
        <x:v>QH-SU-KX-0300</x:v>
      </x:c>
      <x:c r="L29" s="110" t="str">
        <x:v>卷300；遗诏末段</x:v>
      </x:c>
      <x:c r="M29" s="110" t="str">
        <x:v>爾等若能協心保全</x:v>
      </x:c>
      <x:c r="N29" s="110" t="str">
        <x:v>支持</x:v>
      </x:c>
      <x:c r="O29" s="110" t="str">
        <x:v>明确记载</x:v>
      </x:c>
      <x:c r="P29" s="110" t="str">
        <x:v>强</x:v>
      </x:c>
      <x:c r="Q29" s="110" t="str">
        <x:v>QH-SF-QSL-KX</x:v>
      </x:c>
      <x:c r="R29" s="110" t="str"/>
      <x:c r="S29" s="110" t="str">
        <x:v>结构化导入</x:v>
      </x:c>
      <x:c r="T29" s="110" t="str">
        <x:v>AI</x:v>
      </x:c>
      <x:c r="U29" s="110" t="str"/>
      <x:c r="V29" s="110" t="str">
        <x:v>需另建礼亲王与饶余王支系实体及指代解析</x:v>
      </x:c>
    </x:row>
    <x:row r="30" ht="32" customHeight="1">
      <x:c r="A30" s="110" t="str">
        <x:v>QH-A-KX-0026</x:v>
      </x:c>
      <x:c r="B30" s="110" t="str">
        <x:v>文字或数值陈述</x:v>
      </x:c>
      <x:c r="C30" s="110" t="str">
        <x:v>QH-P-000001</x:v>
      </x:c>
      <x:c r="D30" s="110" t="str">
        <x:v>testament_identified_yinzhen</x:v>
      </x:c>
      <x:c r="E30" s="110" t="str">
        <x:v>雍亲王皇四子胤禛</x:v>
      </x:c>
      <x:c r="F30" s="110" t="str">
        <x:v>康熙六十一年十一月十三日</x:v>
      </x:c>
      <x:c r="G30" s="112" t="str"/>
      <x:c r="H30" s="112" t="str"/>
      <x:c r="I30" s="110" t="str">
        <x:v>确定</x:v>
      </x:c>
      <x:c r="J30" s="110" t="str">
        <x:v>审核中</x:v>
      </x:c>
      <x:c r="K30" s="110" t="str">
        <x:v>QH-SU-KX-0300</x:v>
      </x:c>
      <x:c r="L30" s="110" t="str">
        <x:v>卷300；遗诏继承条款</x:v>
      </x:c>
      <x:c r="M30" s="110" t="str">
        <x:v>雍親王皇四子胤禛</x:v>
      </x:c>
      <x:c r="N30" s="110" t="str">
        <x:v>支持</x:v>
      </x:c>
      <x:c r="O30" s="110" t="str">
        <x:v>明确记载</x:v>
      </x:c>
      <x:c r="P30" s="110" t="str">
        <x:v>强</x:v>
      </x:c>
      <x:c r="Q30" s="110" t="str">
        <x:v>QH-SF-QSL-KX</x:v>
      </x:c>
      <x:c r="R30" s="110" t="str"/>
      <x:c r="S30" s="110" t="str">
        <x:v>结构化导入</x:v>
      </x:c>
      <x:c r="T30" s="110" t="str">
        <x:v>AI</x:v>
      </x:c>
      <x:c r="U30" s="110" t="str"/>
      <x:c r="V30" s="110" t="str">
        <x:v>与QH-P-000002为同一人物；称号和排行均有时态</x:v>
      </x:c>
    </x:row>
    <x:row r="31" ht="32" customHeight="1">
      <x:c r="A31" s="110" t="str">
        <x:v>QH-A-KX-0027</x:v>
      </x:c>
      <x:c r="B31" s="110" t="str">
        <x:v>文字或数值陈述</x:v>
      </x:c>
      <x:c r="C31" s="110" t="str">
        <x:v>QH-P-000001</x:v>
      </x:c>
      <x:c r="D31" s="110" t="str">
        <x:v>testament_evaluated_yinzhen</x:v>
      </x:c>
      <x:c r="E31" s="110" t="str">
        <x:v>人品贵重并深肖朕躬</x:v>
      </x:c>
      <x:c r="F31" s="110" t="str">
        <x:v>康熙六十一年十一月十三日</x:v>
      </x:c>
      <x:c r="G31" s="112" t="str"/>
      <x:c r="H31" s="112" t="str"/>
      <x:c r="I31" s="110" t="str">
        <x:v>确定</x:v>
      </x:c>
      <x:c r="J31" s="110" t="str">
        <x:v>审核中</x:v>
      </x:c>
      <x:c r="K31" s="110" t="str">
        <x:v>QH-SU-KX-0300</x:v>
      </x:c>
      <x:c r="L31" s="110" t="str">
        <x:v>卷300；遗诏继承条款</x:v>
      </x:c>
      <x:c r="M31" s="110" t="str">
        <x:v>人品貴重深肖朕躬</x:v>
      </x:c>
      <x:c r="N31" s="110" t="str">
        <x:v>支持</x:v>
      </x:c>
      <x:c r="O31" s="110" t="str">
        <x:v>明确记载</x:v>
      </x:c>
      <x:c r="P31" s="110" t="str">
        <x:v>强</x:v>
      </x:c>
      <x:c r="Q31" s="110" t="str">
        <x:v>QH-SF-QSL-KX</x:v>
      </x:c>
      <x:c r="R31" s="110" t="str">
        <x:v>QH-CF-KX-SUCCESSION</x:v>
      </x:c>
      <x:c r="S31" s="110" t="str">
        <x:v>结构化导入</x:v>
      </x:c>
      <x:c r="T31" s="110" t="str">
        <x:v>AI</x:v>
      </x:c>
      <x:c r="U31" s="110" t="str"/>
      <x:c r="V31" s="110" t="str">
        <x:v>这是遗诏中的评价性语言；不能直接视为康熙长期稳定的私下判断</x:v>
      </x:c>
    </x:row>
    <x:row r="32" ht="32" customHeight="1">
      <x:c r="A32" s="110" t="str">
        <x:v>QH-A-KX-0028</x:v>
      </x:c>
      <x:c r="B32" s="110" t="str">
        <x:v>称号授予</x:v>
      </x:c>
      <x:c r="C32" s="110" t="str">
        <x:v>QH-P-000001</x:v>
      </x:c>
      <x:c r="D32" s="110" t="str">
        <x:v>designated_successor</x:v>
      </x:c>
      <x:c r="E32" s="110" t="str">
        <x:v>QH-P-000002</x:v>
      </x:c>
      <x:c r="F32" s="110" t="str">
        <x:v>康熙六十一年十一月十三日</x:v>
      </x:c>
      <x:c r="G32" s="112" t="str"/>
      <x:c r="H32" s="112" t="str"/>
      <x:c r="I32" s="110" t="str">
        <x:v>确定</x:v>
      </x:c>
      <x:c r="J32" s="110" t="str">
        <x:v>审核中</x:v>
      </x:c>
      <x:c r="K32" s="110" t="str">
        <x:v>QH-SU-KX-0300</x:v>
      </x:c>
      <x:c r="L32" s="110" t="str">
        <x:v>卷300；遗诏继承条款</x:v>
      </x:c>
      <x:c r="M32" s="110" t="str">
        <x:v>著繼朕登基即皇帝位</x:v>
      </x:c>
      <x:c r="N32" s="110" t="str">
        <x:v>支持</x:v>
      </x:c>
      <x:c r="O32" s="110" t="str">
        <x:v>明确记载</x:v>
      </x:c>
      <x:c r="P32" s="110" t="str">
        <x:v>强</x:v>
      </x:c>
      <x:c r="Q32" s="110" t="str">
        <x:v>QH-SF-QSL-KX</x:v>
      </x:c>
      <x:c r="R32" s="110" t="str">
        <x:v>QH-CF-KX-SUCCESSION</x:v>
      </x:c>
      <x:c r="S32" s="110" t="str">
        <x:v>结构化导入</x:v>
      </x:c>
      <x:c r="T32" s="110" t="str">
        <x:v>AI</x:v>
      </x:c>
      <x:c r="U32" s="110" t="str"/>
      <x:c r="V32" s="110" t="str">
        <x:v>只证明现存实录本所载遗诏含此条款；不能单独解决原诏形成传达增删或真伪争议</x:v>
      </x:c>
    </x:row>
    <x:row r="33" ht="32" customHeight="1">
      <x:c r="A33" s="110" t="str">
        <x:v>QH-A-EXAMPLE-001</x:v>
      </x:c>
      <x:c r="B33" s="110" t="str">
        <x:v>人物关系</x:v>
      </x:c>
      <x:c r="C33" s="110" t="str">
        <x:v>QH-P-000002</x:v>
      </x:c>
      <x:c r="D33" s="110" t="str">
        <x:v>has_biological_mother</x:v>
      </x:c>
      <x:c r="E33" s="110" t="str">
        <x:v>QH-P-000025</x:v>
      </x:c>
      <x:c r="F33" s="110" t="str">
        <x:v>雍正帝为德妃乌雅氏所生（示例候选）</x:v>
      </x:c>
      <x:c r="G33" s="112" t="str"/>
      <x:c r="H33" s="112" t="str"/>
      <x:c r="I33" s="110" t="str">
        <x:v>不确定</x:v>
      </x:c>
      <x:c r="J33" s="110" t="str">
        <x:v>草稿</x:v>
      </x:c>
      <x:c r="K33" s="110" t="str"/>
      <x:c r="L33" s="110" t="str">
        <x:v>待精确到具体《玉牒》版本、卷页或档号</x:v>
      </x:c>
      <x:c r="M33" s="110" t="str"/>
      <x:c r="N33" s="110" t="str">
        <x:v>仅提及</x:v>
      </x:c>
      <x:c r="O33" s="110" t="str">
        <x:v>语境性</x:v>
      </x:c>
      <x:c r="P33" s="110" t="str">
        <x:v>未评级</x:v>
      </x:c>
      <x:c r="Q33" s="110" t="str"/>
      <x:c r="R33" s="110" t="str"/>
      <x:c r="S33" s="110" t="str">
        <x:v>人工录入</x:v>
      </x:c>
      <x:c r="T33" s="110" t="str"/>
      <x:c r="U33" s="110" t="str"/>
      <x:c r="V33" s="110" t="str">
        <x:v>仅演示字段结构；不得视为已核验主张，正式取证后另建稳定 Assertion ID</x:v>
      </x:c>
    </x:row>
    <x:row r="34" ht="32" customHeight="1">
      <x:c r="A34" s="110" t="str"/>
      <x:c r="B34" s="110" t="str"/>
      <x:c r="C34" s="110" t="str"/>
      <x:c r="D34" s="110" t="str"/>
      <x:c r="E34" s="110" t="str"/>
      <x:c r="F34" s="110" t="str"/>
      <x:c r="G34" s="112" t="str"/>
      <x:c r="H34" s="112" t="str"/>
      <x:c r="I34" s="110" t="str"/>
      <x:c r="J34" s="110" t="str"/>
      <x:c r="K34" s="110" t="str"/>
      <x:c r="L34" s="110" t="str"/>
      <x:c r="M34" s="110" t="str"/>
      <x:c r="N34" s="110" t="str"/>
      <x:c r="O34" s="110" t="str"/>
      <x:c r="P34" s="110" t="str"/>
      <x:c r="Q34" s="110" t="str"/>
      <x:c r="R34" s="110" t="str"/>
      <x:c r="S34" s="110" t="str"/>
      <x:c r="T34" s="110" t="str"/>
      <x:c r="U34" s="110" t="str"/>
      <x:c r="V34" s="110" t="str"/>
    </x:row>
    <x:row r="35" ht="32" customHeight="1">
      <x:c r="A35" s="110" t="str"/>
      <x:c r="B35" s="110" t="str"/>
      <x:c r="C35" s="110" t="str"/>
      <x:c r="D35" s="110" t="str"/>
      <x:c r="E35" s="110" t="str"/>
      <x:c r="F35" s="110" t="str"/>
      <x:c r="G35" s="112" t="str"/>
      <x:c r="H35" s="112" t="str"/>
      <x:c r="I35" s="110" t="str"/>
      <x:c r="J35" s="110" t="str"/>
      <x:c r="K35" s="110" t="str"/>
      <x:c r="L35" s="110" t="str"/>
      <x:c r="M35" s="110" t="str"/>
      <x:c r="N35" s="110" t="str"/>
      <x:c r="O35" s="110" t="str"/>
      <x:c r="P35" s="110" t="str"/>
      <x:c r="Q35" s="110" t="str"/>
      <x:c r="R35" s="110" t="str"/>
      <x:c r="S35" s="110" t="str"/>
      <x:c r="T35" s="110" t="str"/>
      <x:c r="U35" s="110" t="str"/>
      <x:c r="V35" s="110" t="str"/>
    </x:row>
    <x:row r="36" ht="32" customHeight="1">
      <x:c r="A36" s="110" t="str"/>
      <x:c r="B36" s="110" t="str"/>
      <x:c r="C36" s="110" t="str"/>
      <x:c r="D36" s="110" t="str"/>
      <x:c r="E36" s="110" t="str"/>
      <x:c r="F36" s="110" t="str"/>
      <x:c r="G36" s="112" t="str"/>
      <x:c r="H36" s="112" t="str"/>
      <x:c r="I36" s="110" t="str"/>
      <x:c r="J36" s="110" t="str"/>
      <x:c r="K36" s="110" t="str"/>
      <x:c r="L36" s="110" t="str"/>
      <x:c r="M36" s="110" t="str"/>
      <x:c r="N36" s="110" t="str"/>
      <x:c r="O36" s="110" t="str"/>
      <x:c r="P36" s="110" t="str"/>
      <x:c r="Q36" s="110" t="str"/>
      <x:c r="R36" s="110" t="str"/>
      <x:c r="S36" s="110" t="str"/>
      <x:c r="T36" s="110" t="str"/>
      <x:c r="U36" s="110" t="str"/>
      <x:c r="V36" s="110" t="str"/>
    </x:row>
    <x:row r="37" ht="32" customHeight="1">
      <x:c r="A37" s="110" t="str"/>
      <x:c r="B37" s="110" t="str"/>
      <x:c r="C37" s="110" t="str"/>
      <x:c r="D37" s="110" t="str"/>
      <x:c r="E37" s="110" t="str"/>
      <x:c r="F37" s="110" t="str"/>
      <x:c r="G37" s="112" t="str"/>
      <x:c r="H37" s="112" t="str"/>
      <x:c r="I37" s="110" t="str"/>
      <x:c r="J37" s="110" t="str"/>
      <x:c r="K37" s="110" t="str"/>
      <x:c r="L37" s="110" t="str"/>
      <x:c r="M37" s="110" t="str"/>
      <x:c r="N37" s="110" t="str"/>
      <x:c r="O37" s="110" t="str"/>
      <x:c r="P37" s="110" t="str"/>
      <x:c r="Q37" s="110" t="str"/>
      <x:c r="R37" s="110" t="str"/>
      <x:c r="S37" s="110" t="str"/>
      <x:c r="T37" s="110" t="str"/>
      <x:c r="U37" s="110" t="str"/>
      <x:c r="V37" s="110" t="str"/>
    </x:row>
    <x:row r="38" ht="32" customHeight="1">
      <x:c r="A38" s="110" t="str"/>
      <x:c r="B38" s="110" t="str"/>
      <x:c r="C38" s="110" t="str"/>
      <x:c r="D38" s="110" t="str"/>
      <x:c r="E38" s="110" t="str"/>
      <x:c r="F38" s="110" t="str"/>
      <x:c r="G38" s="112" t="str"/>
      <x:c r="H38" s="112" t="str"/>
      <x:c r="I38" s="110" t="str"/>
      <x:c r="J38" s="110" t="str"/>
      <x:c r="K38" s="110" t="str"/>
      <x:c r="L38" s="110" t="str"/>
      <x:c r="M38" s="110" t="str"/>
      <x:c r="N38" s="110" t="str"/>
      <x:c r="O38" s="110" t="str"/>
      <x:c r="P38" s="110" t="str"/>
      <x:c r="Q38" s="110" t="str"/>
      <x:c r="R38" s="110" t="str"/>
      <x:c r="S38" s="110" t="str"/>
      <x:c r="T38" s="110" t="str"/>
      <x:c r="U38" s="110" t="str"/>
      <x:c r="V38" s="110" t="str"/>
    </x:row>
    <x:row r="39" ht="32" customHeight="1">
      <x:c r="A39" s="110" t="str"/>
      <x:c r="B39" s="110" t="str"/>
      <x:c r="C39" s="110" t="str"/>
      <x:c r="D39" s="110" t="str"/>
      <x:c r="E39" s="110" t="str"/>
      <x:c r="F39" s="110" t="str"/>
      <x:c r="G39" s="112" t="str"/>
      <x:c r="H39" s="112" t="str"/>
      <x:c r="I39" s="110" t="str"/>
      <x:c r="J39" s="110" t="str"/>
      <x:c r="K39" s="110" t="str"/>
      <x:c r="L39" s="110" t="str"/>
      <x:c r="M39" s="110" t="str"/>
      <x:c r="N39" s="110" t="str"/>
      <x:c r="O39" s="110" t="str"/>
      <x:c r="P39" s="110" t="str"/>
      <x:c r="Q39" s="110" t="str"/>
      <x:c r="R39" s="110" t="str"/>
      <x:c r="S39" s="110" t="str"/>
      <x:c r="T39" s="110" t="str"/>
      <x:c r="U39" s="110" t="str"/>
      <x:c r="V39" s="110" t="str"/>
    </x:row>
    <x:row r="40" ht="32" customHeight="1">
      <x:c r="A40" s="110" t="str"/>
      <x:c r="B40" s="110" t="str"/>
      <x:c r="C40" s="110" t="str"/>
      <x:c r="D40" s="110" t="str"/>
      <x:c r="E40" s="110" t="str"/>
      <x:c r="F40" s="110" t="str"/>
      <x:c r="G40" s="112" t="str"/>
      <x:c r="H40" s="112" t="str"/>
      <x:c r="I40" s="110" t="str"/>
      <x:c r="J40" s="110" t="str"/>
      <x:c r="K40" s="110" t="str"/>
      <x:c r="L40" s="110" t="str"/>
      <x:c r="M40" s="110" t="str"/>
      <x:c r="N40" s="110" t="str"/>
      <x:c r="O40" s="110" t="str"/>
      <x:c r="P40" s="110" t="str"/>
      <x:c r="Q40" s="110" t="str"/>
      <x:c r="R40" s="110" t="str"/>
      <x:c r="S40" s="110" t="str"/>
      <x:c r="T40" s="110" t="str"/>
      <x:c r="U40" s="110" t="str"/>
      <x:c r="V40" s="110" t="str"/>
    </x:row>
    <x:row r="41" ht="32" customHeight="1">
      <x:c r="A41" s="110" t="str"/>
      <x:c r="B41" s="110" t="str"/>
      <x:c r="C41" s="110" t="str"/>
      <x:c r="D41" s="110" t="str"/>
      <x:c r="E41" s="110" t="str"/>
      <x:c r="F41" s="110" t="str"/>
      <x:c r="G41" s="112" t="str"/>
      <x:c r="H41" s="112" t="str"/>
      <x:c r="I41" s="110" t="str"/>
      <x:c r="J41" s="110" t="str"/>
      <x:c r="K41" s="110" t="str"/>
      <x:c r="L41" s="110" t="str"/>
      <x:c r="M41" s="110" t="str"/>
      <x:c r="N41" s="110" t="str"/>
      <x:c r="O41" s="110" t="str"/>
      <x:c r="P41" s="110" t="str"/>
      <x:c r="Q41" s="110" t="str"/>
      <x:c r="R41" s="110" t="str"/>
      <x:c r="S41" s="110" t="str"/>
      <x:c r="T41" s="110" t="str"/>
      <x:c r="U41" s="110" t="str"/>
      <x:c r="V41" s="110" t="str"/>
    </x:row>
    <x:row r="42" ht="32" customHeight="1">
      <x:c r="A42" s="110" t="str"/>
      <x:c r="B42" s="110" t="str"/>
      <x:c r="C42" s="110" t="str"/>
      <x:c r="D42" s="110" t="str"/>
      <x:c r="E42" s="110" t="str"/>
      <x:c r="F42" s="110" t="str"/>
      <x:c r="G42" s="112" t="str"/>
      <x:c r="H42" s="112" t="str"/>
      <x:c r="I42" s="110" t="str"/>
      <x:c r="J42" s="110" t="str"/>
      <x:c r="K42" s="110" t="str"/>
      <x:c r="L42" s="110" t="str"/>
      <x:c r="M42" s="110" t="str"/>
      <x:c r="N42" s="110" t="str"/>
      <x:c r="O42" s="110" t="str"/>
      <x:c r="P42" s="110" t="str"/>
      <x:c r="Q42" s="110" t="str"/>
      <x:c r="R42" s="110" t="str"/>
      <x:c r="S42" s="110" t="str"/>
      <x:c r="T42" s="110" t="str"/>
      <x:c r="U42" s="110" t="str"/>
      <x:c r="V42" s="110" t="str"/>
    </x:row>
    <x:row r="43" ht="32" customHeight="1">
      <x:c r="A43" s="110" t="str"/>
      <x:c r="B43" s="110" t="str"/>
      <x:c r="C43" s="110" t="str"/>
      <x:c r="D43" s="110" t="str"/>
      <x:c r="E43" s="110" t="str"/>
      <x:c r="F43" s="110" t="str"/>
      <x:c r="G43" s="112" t="str"/>
      <x:c r="H43" s="112" t="str"/>
      <x:c r="I43" s="110" t="str"/>
      <x:c r="J43" s="110" t="str"/>
      <x:c r="K43" s="110" t="str"/>
      <x:c r="L43" s="110" t="str"/>
      <x:c r="M43" s="110" t="str"/>
      <x:c r="N43" s="110" t="str"/>
      <x:c r="O43" s="110" t="str"/>
      <x:c r="P43" s="110" t="str"/>
      <x:c r="Q43" s="110" t="str"/>
      <x:c r="R43" s="110" t="str"/>
      <x:c r="S43" s="110" t="str"/>
      <x:c r="T43" s="110" t="str"/>
      <x:c r="U43" s="110" t="str"/>
      <x:c r="V43" s="110" t="str"/>
    </x:row>
    <x:row r="44" ht="32" customHeight="1">
      <x:c r="A44" s="110" t="str"/>
      <x:c r="B44" s="110" t="str"/>
      <x:c r="C44" s="110" t="str"/>
      <x:c r="D44" s="110" t="str"/>
      <x:c r="E44" s="110" t="str"/>
      <x:c r="F44" s="110" t="str"/>
      <x:c r="G44" s="112" t="str"/>
      <x:c r="H44" s="112" t="str"/>
      <x:c r="I44" s="110" t="str"/>
      <x:c r="J44" s="110" t="str"/>
      <x:c r="K44" s="110" t="str"/>
      <x:c r="L44" s="110" t="str"/>
      <x:c r="M44" s="110" t="str"/>
      <x:c r="N44" s="110" t="str"/>
      <x:c r="O44" s="110" t="str"/>
      <x:c r="P44" s="110" t="str"/>
      <x:c r="Q44" s="110" t="str"/>
      <x:c r="R44" s="110" t="str"/>
      <x:c r="S44" s="110" t="str"/>
      <x:c r="T44" s="110" t="str"/>
      <x:c r="U44" s="110" t="str"/>
      <x:c r="V44" s="110" t="str"/>
    </x:row>
    <x:row r="45" ht="32" customHeight="1">
      <x:c r="A45" s="110" t="str"/>
      <x:c r="B45" s="110" t="str"/>
      <x:c r="C45" s="110" t="str"/>
      <x:c r="D45" s="110" t="str"/>
      <x:c r="E45" s="110" t="str"/>
      <x:c r="F45" s="110" t="str"/>
      <x:c r="G45" s="112" t="str"/>
      <x:c r="H45" s="112" t="str"/>
      <x:c r="I45" s="110" t="str"/>
      <x:c r="J45" s="110" t="str"/>
      <x:c r="K45" s="110" t="str"/>
      <x:c r="L45" s="110" t="str"/>
      <x:c r="M45" s="110" t="str"/>
      <x:c r="N45" s="110" t="str"/>
      <x:c r="O45" s="110" t="str"/>
      <x:c r="P45" s="110" t="str"/>
      <x:c r="Q45" s="110" t="str"/>
      <x:c r="R45" s="110" t="str"/>
      <x:c r="S45" s="110" t="str"/>
      <x:c r="T45" s="110" t="str"/>
      <x:c r="U45" s="110" t="str"/>
      <x:c r="V45" s="110" t="str"/>
    </x:row>
    <x:row r="46" ht="32" customHeight="1">
      <x:c r="A46" s="110" t="str"/>
      <x:c r="B46" s="110" t="str"/>
      <x:c r="C46" s="110" t="str"/>
      <x:c r="D46" s="110" t="str"/>
      <x:c r="E46" s="110" t="str"/>
      <x:c r="F46" s="110" t="str"/>
      <x:c r="G46" s="112" t="str"/>
      <x:c r="H46" s="112" t="str"/>
      <x:c r="I46" s="110" t="str"/>
      <x:c r="J46" s="110" t="str"/>
      <x:c r="K46" s="110" t="str"/>
      <x:c r="L46" s="110" t="str"/>
      <x:c r="M46" s="110" t="str"/>
      <x:c r="N46" s="110" t="str"/>
      <x:c r="O46" s="110" t="str"/>
      <x:c r="P46" s="110" t="str"/>
      <x:c r="Q46" s="110" t="str"/>
      <x:c r="R46" s="110" t="str"/>
      <x:c r="S46" s="110" t="str"/>
      <x:c r="T46" s="110" t="str"/>
      <x:c r="U46" s="110" t="str"/>
      <x:c r="V46" s="110" t="str"/>
    </x:row>
    <x:row r="47" ht="32" customHeight="1">
      <x:c r="A47" s="110" t="str"/>
      <x:c r="B47" s="110" t="str"/>
      <x:c r="C47" s="110" t="str"/>
      <x:c r="D47" s="110" t="str"/>
      <x:c r="E47" s="110" t="str"/>
      <x:c r="F47" s="110" t="str"/>
      <x:c r="G47" s="112" t="str"/>
      <x:c r="H47" s="112" t="str"/>
      <x:c r="I47" s="110" t="str"/>
      <x:c r="J47" s="110" t="str"/>
      <x:c r="K47" s="110" t="str"/>
      <x:c r="L47" s="110" t="str"/>
      <x:c r="M47" s="110" t="str"/>
      <x:c r="N47" s="110" t="str"/>
      <x:c r="O47" s="110" t="str"/>
      <x:c r="P47" s="110" t="str"/>
      <x:c r="Q47" s="110" t="str"/>
      <x:c r="R47" s="110" t="str"/>
      <x:c r="S47" s="110" t="str"/>
      <x:c r="T47" s="110" t="str"/>
      <x:c r="U47" s="110" t="str"/>
      <x:c r="V47" s="110" t="str"/>
    </x:row>
    <x:row r="48" ht="32" customHeight="1">
      <x:c r="A48" s="110" t="str"/>
      <x:c r="B48" s="110" t="str"/>
      <x:c r="C48" s="110" t="str"/>
      <x:c r="D48" s="110" t="str"/>
      <x:c r="E48" s="110" t="str"/>
      <x:c r="F48" s="110" t="str"/>
      <x:c r="G48" s="112" t="str"/>
      <x:c r="H48" s="112" t="str"/>
      <x:c r="I48" s="110" t="str"/>
      <x:c r="J48" s="110" t="str"/>
      <x:c r="K48" s="110" t="str"/>
      <x:c r="L48" s="110" t="str"/>
      <x:c r="M48" s="110" t="str"/>
      <x:c r="N48" s="110" t="str"/>
      <x:c r="O48" s="110" t="str"/>
      <x:c r="P48" s="110" t="str"/>
      <x:c r="Q48" s="110" t="str"/>
      <x:c r="R48" s="110" t="str"/>
      <x:c r="S48" s="110" t="str"/>
      <x:c r="T48" s="110" t="str"/>
      <x:c r="U48" s="110" t="str"/>
      <x:c r="V48" s="110" t="str"/>
    </x:row>
    <x:row r="49" ht="32" customHeight="1">
      <x:c r="A49" s="110" t="str"/>
      <x:c r="B49" s="110" t="str"/>
      <x:c r="C49" s="110" t="str"/>
      <x:c r="D49" s="110" t="str"/>
      <x:c r="E49" s="110" t="str"/>
      <x:c r="F49" s="110" t="str"/>
      <x:c r="G49" s="112" t="str"/>
      <x:c r="H49" s="112" t="str"/>
      <x:c r="I49" s="110" t="str"/>
      <x:c r="J49" s="110" t="str"/>
      <x:c r="K49" s="110" t="str"/>
      <x:c r="L49" s="110" t="str"/>
      <x:c r="M49" s="110" t="str"/>
      <x:c r="N49" s="110" t="str"/>
      <x:c r="O49" s="110" t="str"/>
      <x:c r="P49" s="110" t="str"/>
      <x:c r="Q49" s="110" t="str"/>
      <x:c r="R49" s="110" t="str"/>
      <x:c r="S49" s="110" t="str"/>
      <x:c r="T49" s="110" t="str"/>
      <x:c r="U49" s="110" t="str"/>
      <x:c r="V49" s="110" t="str"/>
    </x:row>
    <x:row r="50" ht="32" customHeight="1">
      <x:c r="A50" s="110" t="str"/>
      <x:c r="B50" s="110" t="str"/>
      <x:c r="C50" s="110" t="str"/>
      <x:c r="D50" s="110" t="str"/>
      <x:c r="E50" s="110" t="str"/>
      <x:c r="F50" s="110" t="str"/>
      <x:c r="G50" s="112" t="str"/>
      <x:c r="H50" s="112" t="str"/>
      <x:c r="I50" s="110" t="str"/>
      <x:c r="J50" s="110" t="str"/>
      <x:c r="K50" s="110" t="str"/>
      <x:c r="L50" s="110" t="str"/>
      <x:c r="M50" s="110" t="str"/>
      <x:c r="N50" s="110" t="str"/>
      <x:c r="O50" s="110" t="str"/>
      <x:c r="P50" s="110" t="str"/>
      <x:c r="Q50" s="110" t="str"/>
      <x:c r="R50" s="110" t="str"/>
      <x:c r="S50" s="110" t="str"/>
      <x:c r="T50" s="110" t="str"/>
      <x:c r="U50" s="110" t="str"/>
      <x:c r="V50" s="110" t="str"/>
    </x:row>
    <x:row r="51" ht="32" customHeight="1">
      <x:c r="A51" s="110" t="str"/>
      <x:c r="B51" s="110" t="str"/>
      <x:c r="C51" s="110" t="str"/>
      <x:c r="D51" s="110" t="str"/>
      <x:c r="E51" s="110" t="str"/>
      <x:c r="F51" s="110" t="str"/>
      <x:c r="G51" s="112" t="str"/>
      <x:c r="H51" s="112" t="str"/>
      <x:c r="I51" s="110" t="str"/>
      <x:c r="J51" s="110" t="str"/>
      <x:c r="K51" s="110" t="str"/>
      <x:c r="L51" s="110" t="str"/>
      <x:c r="M51" s="110" t="str"/>
      <x:c r="N51" s="110" t="str"/>
      <x:c r="O51" s="110" t="str"/>
      <x:c r="P51" s="110" t="str"/>
      <x:c r="Q51" s="110" t="str"/>
      <x:c r="R51" s="110" t="str"/>
      <x:c r="S51" s="110" t="str"/>
      <x:c r="T51" s="110" t="str"/>
      <x:c r="U51" s="110" t="str"/>
      <x:c r="V51" s="110" t="str"/>
    </x:row>
    <x:row r="52" ht="32" customHeight="1">
      <x:c r="A52" s="110" t="str"/>
      <x:c r="B52" s="110" t="str"/>
      <x:c r="C52" s="110" t="str"/>
      <x:c r="D52" s="110" t="str"/>
      <x:c r="E52" s="110" t="str"/>
      <x:c r="F52" s="110" t="str"/>
      <x:c r="G52" s="112" t="str"/>
      <x:c r="H52" s="112" t="str"/>
      <x:c r="I52" s="110" t="str"/>
      <x:c r="J52" s="110" t="str"/>
      <x:c r="K52" s="110" t="str"/>
      <x:c r="L52" s="110" t="str"/>
      <x:c r="M52" s="110" t="str"/>
      <x:c r="N52" s="110" t="str"/>
      <x:c r="O52" s="110" t="str"/>
      <x:c r="P52" s="110" t="str"/>
      <x:c r="Q52" s="110" t="str"/>
      <x:c r="R52" s="110" t="str"/>
      <x:c r="S52" s="110" t="str"/>
      <x:c r="T52" s="110" t="str"/>
      <x:c r="U52" s="110" t="str"/>
      <x:c r="V52" s="110" t="str"/>
    </x:row>
    <x:row r="53" ht="32" customHeight="1">
      <x:c r="A53" s="110" t="str"/>
      <x:c r="B53" s="110" t="str"/>
      <x:c r="C53" s="110" t="str"/>
      <x:c r="D53" s="110" t="str"/>
      <x:c r="E53" s="110" t="str"/>
      <x:c r="F53" s="110" t="str"/>
      <x:c r="G53" s="112" t="str"/>
      <x:c r="H53" s="112" t="str"/>
      <x:c r="I53" s="110" t="str"/>
      <x:c r="J53" s="110" t="str"/>
      <x:c r="K53" s="110" t="str"/>
      <x:c r="L53" s="110" t="str"/>
      <x:c r="M53" s="110" t="str"/>
      <x:c r="N53" s="110" t="str"/>
      <x:c r="O53" s="110" t="str"/>
      <x:c r="P53" s="110" t="str"/>
      <x:c r="Q53" s="110" t="str"/>
      <x:c r="R53" s="110" t="str"/>
      <x:c r="S53" s="110" t="str"/>
      <x:c r="T53" s="110" t="str"/>
      <x:c r="U53" s="110" t="str"/>
      <x:c r="V53" s="110" t="str"/>
    </x:row>
    <x:row r="54" ht="32" customHeight="1">
      <x:c r="A54" s="110" t="str"/>
      <x:c r="B54" s="110" t="str"/>
      <x:c r="C54" s="110" t="str"/>
      <x:c r="D54" s="110" t="str"/>
      <x:c r="E54" s="110" t="str"/>
      <x:c r="F54" s="110" t="str"/>
      <x:c r="G54" s="112" t="str"/>
      <x:c r="H54" s="112" t="str"/>
      <x:c r="I54" s="110" t="str"/>
      <x:c r="J54" s="110" t="str"/>
      <x:c r="K54" s="110" t="str"/>
      <x:c r="L54" s="110" t="str"/>
      <x:c r="M54" s="110" t="str"/>
      <x:c r="N54" s="110" t="str"/>
      <x:c r="O54" s="110" t="str"/>
      <x:c r="P54" s="110" t="str"/>
      <x:c r="Q54" s="110" t="str"/>
      <x:c r="R54" s="110" t="str"/>
      <x:c r="S54" s="110" t="str"/>
      <x:c r="T54" s="110" t="str"/>
      <x:c r="U54" s="110" t="str"/>
      <x:c r="V54" s="110" t="str"/>
    </x:row>
    <x:row r="55" ht="32" customHeight="1">
      <x:c r="A55" s="110" t="str"/>
      <x:c r="B55" s="110" t="str"/>
      <x:c r="C55" s="110" t="str"/>
      <x:c r="D55" s="110" t="str"/>
      <x:c r="E55" s="110" t="str"/>
      <x:c r="F55" s="110" t="str"/>
      <x:c r="G55" s="112" t="str"/>
      <x:c r="H55" s="112" t="str"/>
      <x:c r="I55" s="110" t="str"/>
      <x:c r="J55" s="110" t="str"/>
      <x:c r="K55" s="110" t="str"/>
      <x:c r="L55" s="110" t="str"/>
      <x:c r="M55" s="110" t="str"/>
      <x:c r="N55" s="110" t="str"/>
      <x:c r="O55" s="110" t="str"/>
      <x:c r="P55" s="110" t="str"/>
      <x:c r="Q55" s="110" t="str"/>
      <x:c r="R55" s="110" t="str"/>
      <x:c r="S55" s="110" t="str"/>
      <x:c r="T55" s="110" t="str"/>
      <x:c r="U55" s="110" t="str"/>
      <x:c r="V55" s="110" t="str"/>
    </x:row>
    <x:row r="56" ht="32" customHeight="1">
      <x:c r="A56" s="110" t="str"/>
      <x:c r="B56" s="110" t="str"/>
      <x:c r="C56" s="110" t="str"/>
      <x:c r="D56" s="110" t="str"/>
      <x:c r="E56" s="110" t="str"/>
      <x:c r="F56" s="110" t="str"/>
      <x:c r="G56" s="112" t="str"/>
      <x:c r="H56" s="112" t="str"/>
      <x:c r="I56" s="110" t="str"/>
      <x:c r="J56" s="110" t="str"/>
      <x:c r="K56" s="110" t="str"/>
      <x:c r="L56" s="110" t="str"/>
      <x:c r="M56" s="110" t="str"/>
      <x:c r="N56" s="110" t="str"/>
      <x:c r="O56" s="110" t="str"/>
      <x:c r="P56" s="110" t="str"/>
      <x:c r="Q56" s="110" t="str"/>
      <x:c r="R56" s="110" t="str"/>
      <x:c r="S56" s="110" t="str"/>
      <x:c r="T56" s="110" t="str"/>
      <x:c r="U56" s="110" t="str"/>
      <x:c r="V56" s="110" t="str"/>
    </x:row>
    <x:row r="57" ht="32" customHeight="1">
      <x:c r="A57" s="110" t="str"/>
      <x:c r="B57" s="110" t="str"/>
      <x:c r="C57" s="110" t="str"/>
      <x:c r="D57" s="110" t="str"/>
      <x:c r="E57" s="110" t="str"/>
      <x:c r="F57" s="110" t="str"/>
      <x:c r="G57" s="112" t="str"/>
      <x:c r="H57" s="112" t="str"/>
      <x:c r="I57" s="110" t="str"/>
      <x:c r="J57" s="110" t="str"/>
      <x:c r="K57" s="110" t="str"/>
      <x:c r="L57" s="110" t="str"/>
      <x:c r="M57" s="110" t="str"/>
      <x:c r="N57" s="110" t="str"/>
      <x:c r="O57" s="110" t="str"/>
      <x:c r="P57" s="110" t="str"/>
      <x:c r="Q57" s="110" t="str"/>
      <x:c r="R57" s="110" t="str"/>
      <x:c r="S57" s="110" t="str"/>
      <x:c r="T57" s="110" t="str"/>
      <x:c r="U57" s="110" t="str"/>
      <x:c r="V57" s="110" t="str"/>
    </x:row>
    <x:row r="58" ht="32" customHeight="1">
      <x:c r="A58" s="110" t="str"/>
      <x:c r="B58" s="110" t="str"/>
      <x:c r="C58" s="110" t="str"/>
      <x:c r="D58" s="110" t="str"/>
      <x:c r="E58" s="110" t="str"/>
      <x:c r="F58" s="110" t="str"/>
      <x:c r="G58" s="112" t="str"/>
      <x:c r="H58" s="112" t="str"/>
      <x:c r="I58" s="110" t="str"/>
      <x:c r="J58" s="110" t="str"/>
      <x:c r="K58" s="110" t="str"/>
      <x:c r="L58" s="110" t="str"/>
      <x:c r="M58" s="110" t="str"/>
      <x:c r="N58" s="110" t="str"/>
      <x:c r="O58" s="110" t="str"/>
      <x:c r="P58" s="110" t="str"/>
      <x:c r="Q58" s="110" t="str"/>
      <x:c r="R58" s="110" t="str"/>
      <x:c r="S58" s="110" t="str"/>
      <x:c r="T58" s="110" t="str"/>
      <x:c r="U58" s="110" t="str"/>
      <x:c r="V58" s="110" t="str"/>
    </x:row>
    <x:row r="59" ht="32" customHeight="1">
      <x:c r="A59" s="110" t="str"/>
      <x:c r="B59" s="110" t="str"/>
      <x:c r="C59" s="110" t="str"/>
      <x:c r="D59" s="110" t="str"/>
      <x:c r="E59" s="110" t="str"/>
      <x:c r="F59" s="110" t="str"/>
      <x:c r="G59" s="112" t="str"/>
      <x:c r="H59" s="112" t="str"/>
      <x:c r="I59" s="110" t="str"/>
      <x:c r="J59" s="110" t="str"/>
      <x:c r="K59" s="110" t="str"/>
      <x:c r="L59" s="110" t="str"/>
      <x:c r="M59" s="110" t="str"/>
      <x:c r="N59" s="110" t="str"/>
      <x:c r="O59" s="110" t="str"/>
      <x:c r="P59" s="110" t="str"/>
      <x:c r="Q59" s="110" t="str"/>
      <x:c r="R59" s="110" t="str"/>
      <x:c r="S59" s="110" t="str"/>
      <x:c r="T59" s="110" t="str"/>
      <x:c r="U59" s="110" t="str"/>
      <x:c r="V59" s="110" t="str"/>
    </x:row>
    <x:row r="60" ht="32" customHeight="1">
      <x:c r="A60" s="110" t="str"/>
      <x:c r="B60" s="110" t="str"/>
      <x:c r="C60" s="110" t="str"/>
      <x:c r="D60" s="110" t="str"/>
      <x:c r="E60" s="110" t="str"/>
      <x:c r="F60" s="110" t="str"/>
      <x:c r="G60" s="112" t="str"/>
      <x:c r="H60" s="112" t="str"/>
      <x:c r="I60" s="110" t="str"/>
      <x:c r="J60" s="110" t="str"/>
      <x:c r="K60" s="110" t="str"/>
      <x:c r="L60" s="110" t="str"/>
      <x:c r="M60" s="110" t="str"/>
      <x:c r="N60" s="110" t="str"/>
      <x:c r="O60" s="110" t="str"/>
      <x:c r="P60" s="110" t="str"/>
      <x:c r="Q60" s="110" t="str"/>
      <x:c r="R60" s="110" t="str"/>
      <x:c r="S60" s="110" t="str"/>
      <x:c r="T60" s="110" t="str"/>
      <x:c r="U60" s="110" t="str"/>
      <x:c r="V60" s="110" t="str"/>
    </x:row>
    <x:row r="61" ht="32" customHeight="1">
      <x:c r="A61" s="110" t="str"/>
      <x:c r="B61" s="110" t="str"/>
      <x:c r="C61" s="110" t="str"/>
      <x:c r="D61" s="110" t="str"/>
      <x:c r="E61" s="110" t="str"/>
      <x:c r="F61" s="110" t="str"/>
      <x:c r="G61" s="112" t="str"/>
      <x:c r="H61" s="112" t="str"/>
      <x:c r="I61" s="110" t="str"/>
      <x:c r="J61" s="110" t="str"/>
      <x:c r="K61" s="110" t="str"/>
      <x:c r="L61" s="110" t="str"/>
      <x:c r="M61" s="110" t="str"/>
      <x:c r="N61" s="110" t="str"/>
      <x:c r="O61" s="110" t="str"/>
      <x:c r="P61" s="110" t="str"/>
      <x:c r="Q61" s="110" t="str"/>
      <x:c r="R61" s="110" t="str"/>
      <x:c r="S61" s="110" t="str"/>
      <x:c r="T61" s="110" t="str"/>
      <x:c r="U61" s="110" t="str"/>
      <x:c r="V61" s="110" t="str"/>
    </x:row>
    <x:row r="62" ht="32" customHeight="1">
      <x:c r="A62" s="110" t="str"/>
      <x:c r="B62" s="110" t="str"/>
      <x:c r="C62" s="110" t="str"/>
      <x:c r="D62" s="110" t="str"/>
      <x:c r="E62" s="110" t="str"/>
      <x:c r="F62" s="110" t="str"/>
      <x:c r="G62" s="112" t="str"/>
      <x:c r="H62" s="112" t="str"/>
      <x:c r="I62" s="110" t="str"/>
      <x:c r="J62" s="110" t="str"/>
      <x:c r="K62" s="110" t="str"/>
      <x:c r="L62" s="110" t="str"/>
      <x:c r="M62" s="110" t="str"/>
      <x:c r="N62" s="110" t="str"/>
      <x:c r="O62" s="110" t="str"/>
      <x:c r="P62" s="110" t="str"/>
      <x:c r="Q62" s="110" t="str"/>
      <x:c r="R62" s="110" t="str"/>
      <x:c r="S62" s="110" t="str"/>
      <x:c r="T62" s="110" t="str"/>
      <x:c r="U62" s="110" t="str"/>
      <x:c r="V62" s="110" t="str"/>
    </x:row>
    <x:row r="63" ht="32" customHeight="1">
      <x:c r="A63" s="110" t="str"/>
      <x:c r="B63" s="110" t="str"/>
      <x:c r="C63" s="110" t="str"/>
      <x:c r="D63" s="110" t="str"/>
      <x:c r="E63" s="110" t="str"/>
      <x:c r="F63" s="110" t="str"/>
      <x:c r="G63" s="112" t="str"/>
      <x:c r="H63" s="112" t="str"/>
      <x:c r="I63" s="110" t="str"/>
      <x:c r="J63" s="110" t="str"/>
      <x:c r="K63" s="110" t="str"/>
      <x:c r="L63" s="110" t="str"/>
      <x:c r="M63" s="110" t="str"/>
      <x:c r="N63" s="110" t="str"/>
      <x:c r="O63" s="110" t="str"/>
      <x:c r="P63" s="110" t="str"/>
      <x:c r="Q63" s="110" t="str"/>
      <x:c r="R63" s="110" t="str"/>
      <x:c r="S63" s="110" t="str"/>
      <x:c r="T63" s="110" t="str"/>
      <x:c r="U63" s="110" t="str"/>
      <x:c r="V63" s="110" t="str"/>
    </x:row>
    <x:row r="64" ht="32" customHeight="1">
      <x:c r="A64" s="110" t="str"/>
      <x:c r="B64" s="110" t="str"/>
      <x:c r="C64" s="110" t="str"/>
      <x:c r="D64" s="110" t="str"/>
      <x:c r="E64" s="110" t="str"/>
      <x:c r="F64" s="110" t="str"/>
      <x:c r="G64" s="112" t="str"/>
      <x:c r="H64" s="112" t="str"/>
      <x:c r="I64" s="110" t="str"/>
      <x:c r="J64" s="110" t="str"/>
      <x:c r="K64" s="110" t="str"/>
      <x:c r="L64" s="110" t="str"/>
      <x:c r="M64" s="110" t="str"/>
      <x:c r="N64" s="110" t="str"/>
      <x:c r="O64" s="110" t="str"/>
      <x:c r="P64" s="110" t="str"/>
      <x:c r="Q64" s="110" t="str"/>
      <x:c r="R64" s="110" t="str"/>
      <x:c r="S64" s="110" t="str"/>
      <x:c r="T64" s="110" t="str"/>
      <x:c r="U64" s="110" t="str"/>
      <x:c r="V64" s="110" t="str"/>
    </x:row>
    <x:row r="65" ht="32" customHeight="1">
      <x:c r="A65" s="110" t="str"/>
      <x:c r="B65" s="110" t="str"/>
      <x:c r="C65" s="110" t="str"/>
      <x:c r="D65" s="110" t="str"/>
      <x:c r="E65" s="110" t="str"/>
      <x:c r="F65" s="110" t="str"/>
      <x:c r="G65" s="112" t="str"/>
      <x:c r="H65" s="112" t="str"/>
      <x:c r="I65" s="110" t="str"/>
      <x:c r="J65" s="110" t="str"/>
      <x:c r="K65" s="110" t="str"/>
      <x:c r="L65" s="110" t="str"/>
      <x:c r="M65" s="110" t="str"/>
      <x:c r="N65" s="110" t="str"/>
      <x:c r="O65" s="110" t="str"/>
      <x:c r="P65" s="110" t="str"/>
      <x:c r="Q65" s="110" t="str"/>
      <x:c r="R65" s="110" t="str"/>
      <x:c r="S65" s="110" t="str"/>
      <x:c r="T65" s="110" t="str"/>
      <x:c r="U65" s="110" t="str"/>
      <x:c r="V65" s="110" t="str"/>
    </x:row>
    <x:row r="66" ht="32" customHeight="1">
      <x:c r="A66" s="110" t="str"/>
      <x:c r="B66" s="110" t="str"/>
      <x:c r="C66" s="110" t="str"/>
      <x:c r="D66" s="110" t="str"/>
      <x:c r="E66" s="110" t="str"/>
      <x:c r="F66" s="110" t="str"/>
      <x:c r="G66" s="112" t="str"/>
      <x:c r="H66" s="112" t="str"/>
      <x:c r="I66" s="110" t="str"/>
      <x:c r="J66" s="110" t="str"/>
      <x:c r="K66" s="110" t="str"/>
      <x:c r="L66" s="110" t="str"/>
      <x:c r="M66" s="110" t="str"/>
      <x:c r="N66" s="110" t="str"/>
      <x:c r="O66" s="110" t="str"/>
      <x:c r="P66" s="110" t="str"/>
      <x:c r="Q66" s="110" t="str"/>
      <x:c r="R66" s="110" t="str"/>
      <x:c r="S66" s="110" t="str"/>
      <x:c r="T66" s="110" t="str"/>
      <x:c r="U66" s="110" t="str"/>
      <x:c r="V66" s="110" t="str"/>
    </x:row>
    <x:row r="67" ht="32" customHeight="1">
      <x:c r="A67" s="110" t="str"/>
      <x:c r="B67" s="110" t="str"/>
      <x:c r="C67" s="110" t="str"/>
      <x:c r="D67" s="110" t="str"/>
      <x:c r="E67" s="110" t="str"/>
      <x:c r="F67" s="110" t="str"/>
      <x:c r="G67" s="112" t="str"/>
      <x:c r="H67" s="112" t="str"/>
      <x:c r="I67" s="110" t="str"/>
      <x:c r="J67" s="110" t="str"/>
      <x:c r="K67" s="110" t="str"/>
      <x:c r="L67" s="110" t="str"/>
      <x:c r="M67" s="110" t="str"/>
      <x:c r="N67" s="110" t="str"/>
      <x:c r="O67" s="110" t="str"/>
      <x:c r="P67" s="110" t="str"/>
      <x:c r="Q67" s="110" t="str"/>
      <x:c r="R67" s="110" t="str"/>
      <x:c r="S67" s="110" t="str"/>
      <x:c r="T67" s="110" t="str"/>
      <x:c r="U67" s="110" t="str"/>
      <x:c r="V67" s="110" t="str"/>
    </x:row>
    <x:row r="68" ht="32" customHeight="1">
      <x:c r="A68" s="110" t="str"/>
      <x:c r="B68" s="110" t="str"/>
      <x:c r="C68" s="110" t="str"/>
      <x:c r="D68" s="110" t="str"/>
      <x:c r="E68" s="110" t="str"/>
      <x:c r="F68" s="110" t="str"/>
      <x:c r="G68" s="112" t="str"/>
      <x:c r="H68" s="112" t="str"/>
      <x:c r="I68" s="110" t="str"/>
      <x:c r="J68" s="110" t="str"/>
      <x:c r="K68" s="110" t="str"/>
      <x:c r="L68" s="110" t="str"/>
      <x:c r="M68" s="110" t="str"/>
      <x:c r="N68" s="110" t="str"/>
      <x:c r="O68" s="110" t="str"/>
      <x:c r="P68" s="110" t="str"/>
      <x:c r="Q68" s="110" t="str"/>
      <x:c r="R68" s="110" t="str"/>
      <x:c r="S68" s="110" t="str"/>
      <x:c r="T68" s="110" t="str"/>
      <x:c r="U68" s="110" t="str"/>
      <x:c r="V68" s="110" t="str"/>
    </x:row>
    <x:row r="69" ht="32" customHeight="1">
      <x:c r="A69" s="110" t="str"/>
      <x:c r="B69" s="110" t="str"/>
      <x:c r="C69" s="110" t="str"/>
      <x:c r="D69" s="110" t="str"/>
      <x:c r="E69" s="110" t="str"/>
      <x:c r="F69" s="110" t="str"/>
      <x:c r="G69" s="112" t="str"/>
      <x:c r="H69" s="112" t="str"/>
      <x:c r="I69" s="110" t="str"/>
      <x:c r="J69" s="110" t="str"/>
      <x:c r="K69" s="110" t="str"/>
      <x:c r="L69" s="110" t="str"/>
      <x:c r="M69" s="110" t="str"/>
      <x:c r="N69" s="110" t="str"/>
      <x:c r="O69" s="110" t="str"/>
      <x:c r="P69" s="110" t="str"/>
      <x:c r="Q69" s="110" t="str"/>
      <x:c r="R69" s="110" t="str"/>
      <x:c r="S69" s="110" t="str"/>
      <x:c r="T69" s="110" t="str"/>
      <x:c r="U69" s="110" t="str"/>
      <x:c r="V69" s="110" t="str"/>
    </x:row>
    <x:row r="70" ht="32" customHeight="1">
      <x:c r="A70" s="110" t="str"/>
      <x:c r="B70" s="110" t="str"/>
      <x:c r="C70" s="110" t="str"/>
      <x:c r="D70" s="110" t="str"/>
      <x:c r="E70" s="110" t="str"/>
      <x:c r="F70" s="110" t="str"/>
      <x:c r="G70" s="112" t="str"/>
      <x:c r="H70" s="112" t="str"/>
      <x:c r="I70" s="110" t="str"/>
      <x:c r="J70" s="110" t="str"/>
      <x:c r="K70" s="110" t="str"/>
      <x:c r="L70" s="110" t="str"/>
      <x:c r="M70" s="110" t="str"/>
      <x:c r="N70" s="110" t="str"/>
      <x:c r="O70" s="110" t="str"/>
      <x:c r="P70" s="110" t="str"/>
      <x:c r="Q70" s="110" t="str"/>
      <x:c r="R70" s="110" t="str"/>
      <x:c r="S70" s="110" t="str"/>
      <x:c r="T70" s="110" t="str"/>
      <x:c r="U70" s="110" t="str"/>
      <x:c r="V70" s="110" t="str"/>
    </x:row>
    <x:row r="71" ht="32" customHeight="1">
      <x:c r="A71" s="110" t="str"/>
      <x:c r="B71" s="110" t="str"/>
      <x:c r="C71" s="110" t="str"/>
      <x:c r="D71" s="110" t="str"/>
      <x:c r="E71" s="110" t="str"/>
      <x:c r="F71" s="110" t="str"/>
      <x:c r="G71" s="112" t="str"/>
      <x:c r="H71" s="112" t="str"/>
      <x:c r="I71" s="110" t="str"/>
      <x:c r="J71" s="110" t="str"/>
      <x:c r="K71" s="110" t="str"/>
      <x:c r="L71" s="110" t="str"/>
      <x:c r="M71" s="110" t="str"/>
      <x:c r="N71" s="110" t="str"/>
      <x:c r="O71" s="110" t="str"/>
      <x:c r="P71" s="110" t="str"/>
      <x:c r="Q71" s="110" t="str"/>
      <x:c r="R71" s="110" t="str"/>
      <x:c r="S71" s="110" t="str"/>
      <x:c r="T71" s="110" t="str"/>
      <x:c r="U71" s="110" t="str"/>
      <x:c r="V71" s="110" t="str"/>
    </x:row>
    <x:row r="72" ht="32" customHeight="1">
      <x:c r="A72" s="110" t="str"/>
      <x:c r="B72" s="110" t="str"/>
      <x:c r="C72" s="110" t="str"/>
      <x:c r="D72" s="110" t="str"/>
      <x:c r="E72" s="110" t="str"/>
      <x:c r="F72" s="110" t="str"/>
      <x:c r="G72" s="112" t="str"/>
      <x:c r="H72" s="112" t="str"/>
      <x:c r="I72" s="110" t="str"/>
      <x:c r="J72" s="110" t="str"/>
      <x:c r="K72" s="110" t="str"/>
      <x:c r="L72" s="110" t="str"/>
      <x:c r="M72" s="110" t="str"/>
      <x:c r="N72" s="110" t="str"/>
      <x:c r="O72" s="110" t="str"/>
      <x:c r="P72" s="110" t="str"/>
      <x:c r="Q72" s="110" t="str"/>
      <x:c r="R72" s="110" t="str"/>
      <x:c r="S72" s="110" t="str"/>
      <x:c r="T72" s="110" t="str"/>
      <x:c r="U72" s="110" t="str"/>
      <x:c r="V72" s="110" t="str"/>
    </x:row>
    <x:row r="73" ht="32" customHeight="1">
      <x:c r="A73" s="110" t="str"/>
      <x:c r="B73" s="110" t="str"/>
      <x:c r="C73" s="110" t="str"/>
      <x:c r="D73" s="110" t="str"/>
      <x:c r="E73" s="110" t="str"/>
      <x:c r="F73" s="110" t="str"/>
      <x:c r="G73" s="112" t="str"/>
      <x:c r="H73" s="112" t="str"/>
      <x:c r="I73" s="110" t="str"/>
      <x:c r="J73" s="110" t="str"/>
      <x:c r="K73" s="110" t="str"/>
      <x:c r="L73" s="110" t="str"/>
      <x:c r="M73" s="110" t="str"/>
      <x:c r="N73" s="110" t="str"/>
      <x:c r="O73" s="110" t="str"/>
      <x:c r="P73" s="110" t="str"/>
      <x:c r="Q73" s="110" t="str"/>
      <x:c r="R73" s="110" t="str"/>
      <x:c r="S73" s="110" t="str"/>
      <x:c r="T73" s="110" t="str"/>
      <x:c r="U73" s="110" t="str"/>
      <x:c r="V73" s="110" t="str"/>
    </x:row>
    <x:row r="74" ht="32" customHeight="1">
      <x:c r="A74" s="110" t="str"/>
      <x:c r="B74" s="110" t="str"/>
      <x:c r="C74" s="110" t="str"/>
      <x:c r="D74" s="110" t="str"/>
      <x:c r="E74" s="110" t="str"/>
      <x:c r="F74" s="110" t="str"/>
      <x:c r="G74" s="112" t="str"/>
      <x:c r="H74" s="112" t="str"/>
      <x:c r="I74" s="110" t="str"/>
      <x:c r="J74" s="110" t="str"/>
      <x:c r="K74" s="110" t="str"/>
      <x:c r="L74" s="110" t="str"/>
      <x:c r="M74" s="110" t="str"/>
      <x:c r="N74" s="110" t="str"/>
      <x:c r="O74" s="110" t="str"/>
      <x:c r="P74" s="110" t="str"/>
      <x:c r="Q74" s="110" t="str"/>
      <x:c r="R74" s="110" t="str"/>
      <x:c r="S74" s="110" t="str"/>
      <x:c r="T74" s="110" t="str"/>
      <x:c r="U74" s="110" t="str"/>
      <x:c r="V74" s="110" t="str"/>
    </x:row>
    <x:row r="75" ht="32" customHeight="1">
      <x:c r="A75" s="110" t="str"/>
      <x:c r="B75" s="110" t="str"/>
      <x:c r="C75" s="110" t="str"/>
      <x:c r="D75" s="110" t="str"/>
      <x:c r="E75" s="110" t="str"/>
      <x:c r="F75" s="110" t="str"/>
      <x:c r="G75" s="112" t="str"/>
      <x:c r="H75" s="112" t="str"/>
      <x:c r="I75" s="110" t="str"/>
      <x:c r="J75" s="110" t="str"/>
      <x:c r="K75" s="110" t="str"/>
      <x:c r="L75" s="110" t="str"/>
      <x:c r="M75" s="110" t="str"/>
      <x:c r="N75" s="110" t="str"/>
      <x:c r="O75" s="110" t="str"/>
      <x:c r="P75" s="110" t="str"/>
      <x:c r="Q75" s="110" t="str"/>
      <x:c r="R75" s="110" t="str"/>
      <x:c r="S75" s="110" t="str"/>
      <x:c r="T75" s="110" t="str"/>
      <x:c r="U75" s="110" t="str"/>
      <x:c r="V75" s="110" t="str"/>
    </x:row>
    <x:row r="76" ht="32" customHeight="1">
      <x:c r="A76" s="110" t="str"/>
      <x:c r="B76" s="110" t="str"/>
      <x:c r="C76" s="110" t="str"/>
      <x:c r="D76" s="110" t="str"/>
      <x:c r="E76" s="110" t="str"/>
      <x:c r="F76" s="110" t="str"/>
      <x:c r="G76" s="112" t="str"/>
      <x:c r="H76" s="112" t="str"/>
      <x:c r="I76" s="110" t="str"/>
      <x:c r="J76" s="110" t="str"/>
      <x:c r="K76" s="110" t="str"/>
      <x:c r="L76" s="110" t="str"/>
      <x:c r="M76" s="110" t="str"/>
      <x:c r="N76" s="110" t="str"/>
      <x:c r="O76" s="110" t="str"/>
      <x:c r="P76" s="110" t="str"/>
      <x:c r="Q76" s="110" t="str"/>
      <x:c r="R76" s="110" t="str"/>
      <x:c r="S76" s="110" t="str"/>
      <x:c r="T76" s="110" t="str"/>
      <x:c r="U76" s="110" t="str"/>
      <x:c r="V76" s="110" t="str"/>
    </x:row>
    <x:row r="77" ht="32" customHeight="1">
      <x:c r="A77" s="110" t="str"/>
      <x:c r="B77" s="110" t="str"/>
      <x:c r="C77" s="110" t="str"/>
      <x:c r="D77" s="110" t="str"/>
      <x:c r="E77" s="110" t="str"/>
      <x:c r="F77" s="110" t="str"/>
      <x:c r="G77" s="112" t="str"/>
      <x:c r="H77" s="112" t="str"/>
      <x:c r="I77" s="110" t="str"/>
      <x:c r="J77" s="110" t="str"/>
      <x:c r="K77" s="110" t="str"/>
      <x:c r="L77" s="110" t="str"/>
      <x:c r="M77" s="110" t="str"/>
      <x:c r="N77" s="110" t="str"/>
      <x:c r="O77" s="110" t="str"/>
      <x:c r="P77" s="110" t="str"/>
      <x:c r="Q77" s="110" t="str"/>
      <x:c r="R77" s="110" t="str"/>
      <x:c r="S77" s="110" t="str"/>
      <x:c r="T77" s="110" t="str"/>
      <x:c r="U77" s="110" t="str"/>
      <x:c r="V77" s="110" t="str"/>
    </x:row>
    <x:row r="78" ht="32" customHeight="1">
      <x:c r="A78" s="110" t="str"/>
      <x:c r="B78" s="110" t="str"/>
      <x:c r="C78" s="110" t="str"/>
      <x:c r="D78" s="110" t="str"/>
      <x:c r="E78" s="110" t="str"/>
      <x:c r="F78" s="110" t="str"/>
      <x:c r="G78" s="112" t="str"/>
      <x:c r="H78" s="112" t="str"/>
      <x:c r="I78" s="110" t="str"/>
      <x:c r="J78" s="110" t="str"/>
      <x:c r="K78" s="110" t="str"/>
      <x:c r="L78" s="110" t="str"/>
      <x:c r="M78" s="110" t="str"/>
      <x:c r="N78" s="110" t="str"/>
      <x:c r="O78" s="110" t="str"/>
      <x:c r="P78" s="110" t="str"/>
      <x:c r="Q78" s="110" t="str"/>
      <x:c r="R78" s="110" t="str"/>
      <x:c r="S78" s="110" t="str"/>
      <x:c r="T78" s="110" t="str"/>
      <x:c r="U78" s="110" t="str"/>
      <x:c r="V78" s="110" t="str"/>
    </x:row>
    <x:row r="79" ht="32" customHeight="1">
      <x:c r="A79" s="110" t="str"/>
      <x:c r="B79" s="110" t="str"/>
      <x:c r="C79" s="110" t="str"/>
      <x:c r="D79" s="110" t="str"/>
      <x:c r="E79" s="110" t="str"/>
      <x:c r="F79" s="110" t="str"/>
      <x:c r="G79" s="112" t="str"/>
      <x:c r="H79" s="112" t="str"/>
      <x:c r="I79" s="110" t="str"/>
      <x:c r="J79" s="110" t="str"/>
      <x:c r="K79" s="110" t="str"/>
      <x:c r="L79" s="110" t="str"/>
      <x:c r="M79" s="110" t="str"/>
      <x:c r="N79" s="110" t="str"/>
      <x:c r="O79" s="110" t="str"/>
      <x:c r="P79" s="110" t="str"/>
      <x:c r="Q79" s="110" t="str"/>
      <x:c r="R79" s="110" t="str"/>
      <x:c r="S79" s="110" t="str"/>
      <x:c r="T79" s="110" t="str"/>
      <x:c r="U79" s="110" t="str"/>
      <x:c r="V79" s="110" t="str"/>
    </x:row>
    <x:row r="80" ht="32" customHeight="1">
      <x:c r="A80" s="110" t="str"/>
      <x:c r="B80" s="110" t="str"/>
      <x:c r="C80" s="110" t="str"/>
      <x:c r="D80" s="110" t="str"/>
      <x:c r="E80" s="110" t="str"/>
      <x:c r="F80" s="110" t="str"/>
      <x:c r="G80" s="112" t="str"/>
      <x:c r="H80" s="112" t="str"/>
      <x:c r="I80" s="110" t="str"/>
      <x:c r="J80" s="110" t="str"/>
      <x:c r="K80" s="110" t="str"/>
      <x:c r="L80" s="110" t="str"/>
      <x:c r="M80" s="110" t="str"/>
      <x:c r="N80" s="110" t="str"/>
      <x:c r="O80" s="110" t="str"/>
      <x:c r="P80" s="110" t="str"/>
      <x:c r="Q80" s="110" t="str"/>
      <x:c r="R80" s="110" t="str"/>
      <x:c r="S80" s="110" t="str"/>
      <x:c r="T80" s="110" t="str"/>
      <x:c r="U80" s="110" t="str"/>
      <x:c r="V80" s="110" t="str"/>
    </x:row>
    <x:row r="81" ht="32" customHeight="1">
      <x:c r="A81" s="110" t="str"/>
      <x:c r="B81" s="110" t="str"/>
      <x:c r="C81" s="110" t="str"/>
      <x:c r="D81" s="110" t="str"/>
      <x:c r="E81" s="110" t="str"/>
      <x:c r="F81" s="110" t="str"/>
      <x:c r="G81" s="112" t="str"/>
      <x:c r="H81" s="112" t="str"/>
      <x:c r="I81" s="110" t="str"/>
      <x:c r="J81" s="110" t="str"/>
      <x:c r="K81" s="110" t="str"/>
      <x:c r="L81" s="110" t="str"/>
      <x:c r="M81" s="110" t="str"/>
      <x:c r="N81" s="110" t="str"/>
      <x:c r="O81" s="110" t="str"/>
      <x:c r="P81" s="110" t="str"/>
      <x:c r="Q81" s="110" t="str"/>
      <x:c r="R81" s="110" t="str"/>
      <x:c r="S81" s="110" t="str"/>
      <x:c r="T81" s="110" t="str"/>
      <x:c r="U81" s="110" t="str"/>
      <x:c r="V81" s="110" t="str"/>
    </x:row>
    <x:row r="82" ht="32" customHeight="1">
      <x:c r="A82" s="110" t="str"/>
      <x:c r="B82" s="110" t="str"/>
      <x:c r="C82" s="110" t="str"/>
      <x:c r="D82" s="110" t="str"/>
      <x:c r="E82" s="110" t="str"/>
      <x:c r="F82" s="110" t="str"/>
      <x:c r="G82" s="112" t="str"/>
      <x:c r="H82" s="112" t="str"/>
      <x:c r="I82" s="110" t="str"/>
      <x:c r="J82" s="110" t="str"/>
      <x:c r="K82" s="110" t="str"/>
      <x:c r="L82" s="110" t="str"/>
      <x:c r="M82" s="110" t="str"/>
      <x:c r="N82" s="110" t="str"/>
      <x:c r="O82" s="110" t="str"/>
      <x:c r="P82" s="110" t="str"/>
      <x:c r="Q82" s="110" t="str"/>
      <x:c r="R82" s="110" t="str"/>
      <x:c r="S82" s="110" t="str"/>
      <x:c r="T82" s="110" t="str"/>
      <x:c r="U82" s="110" t="str"/>
      <x:c r="V82" s="110" t="str"/>
    </x:row>
    <x:row r="83" ht="32" customHeight="1">
      <x:c r="A83" s="110" t="str"/>
      <x:c r="B83" s="110" t="str"/>
      <x:c r="C83" s="110" t="str"/>
      <x:c r="D83" s="110" t="str"/>
      <x:c r="E83" s="110" t="str"/>
      <x:c r="F83" s="110" t="str"/>
      <x:c r="G83" s="112" t="str"/>
      <x:c r="H83" s="112" t="str"/>
      <x:c r="I83" s="110" t="str"/>
      <x:c r="J83" s="110" t="str"/>
      <x:c r="K83" s="110" t="str"/>
      <x:c r="L83" s="110" t="str"/>
      <x:c r="M83" s="110" t="str"/>
      <x:c r="N83" s="110" t="str"/>
      <x:c r="O83" s="110" t="str"/>
      <x:c r="P83" s="110" t="str"/>
      <x:c r="Q83" s="110" t="str"/>
      <x:c r="R83" s="110" t="str"/>
      <x:c r="S83" s="110" t="str"/>
      <x:c r="T83" s="110" t="str"/>
      <x:c r="U83" s="110" t="str"/>
      <x:c r="V83" s="110" t="str"/>
    </x:row>
    <x:row r="84" ht="32" customHeight="1">
      <x:c r="A84" s="110" t="str"/>
      <x:c r="B84" s="110" t="str"/>
      <x:c r="C84" s="110" t="str"/>
      <x:c r="D84" s="110" t="str"/>
      <x:c r="E84" s="110" t="str"/>
      <x:c r="F84" s="110" t="str"/>
      <x:c r="G84" s="112" t="str"/>
      <x:c r="H84" s="112" t="str"/>
      <x:c r="I84" s="110" t="str"/>
      <x:c r="J84" s="110" t="str"/>
      <x:c r="K84" s="110" t="str"/>
      <x:c r="L84" s="110" t="str"/>
      <x:c r="M84" s="110" t="str"/>
      <x:c r="N84" s="110" t="str"/>
      <x:c r="O84" s="110" t="str"/>
      <x:c r="P84" s="110" t="str"/>
      <x:c r="Q84" s="110" t="str"/>
      <x:c r="R84" s="110" t="str"/>
      <x:c r="S84" s="110" t="str"/>
      <x:c r="T84" s="110" t="str"/>
      <x:c r="U84" s="110" t="str"/>
      <x:c r="V84" s="110" t="str"/>
    </x:row>
    <x:row r="85" ht="32" customHeight="1">
      <x:c r="A85" s="110" t="str"/>
      <x:c r="B85" s="110" t="str"/>
      <x:c r="C85" s="110" t="str"/>
      <x:c r="D85" s="110" t="str"/>
      <x:c r="E85" s="110" t="str"/>
      <x:c r="F85" s="110" t="str"/>
      <x:c r="G85" s="112" t="str"/>
      <x:c r="H85" s="112" t="str"/>
      <x:c r="I85" s="110" t="str"/>
      <x:c r="J85" s="110" t="str"/>
      <x:c r="K85" s="110" t="str"/>
      <x:c r="L85" s="110" t="str"/>
      <x:c r="M85" s="110" t="str"/>
      <x:c r="N85" s="110" t="str"/>
      <x:c r="O85" s="110" t="str"/>
      <x:c r="P85" s="110" t="str"/>
      <x:c r="Q85" s="110" t="str"/>
      <x:c r="R85" s="110" t="str"/>
      <x:c r="S85" s="110" t="str"/>
      <x:c r="T85" s="110" t="str"/>
      <x:c r="U85" s="110" t="str"/>
      <x:c r="V85" s="110" t="str"/>
    </x:row>
    <x:row r="86" ht="32" customHeight="1">
      <x:c r="A86" s="110" t="str"/>
      <x:c r="B86" s="110" t="str"/>
      <x:c r="C86" s="110" t="str"/>
      <x:c r="D86" s="110" t="str"/>
      <x:c r="E86" s="110" t="str"/>
      <x:c r="F86" s="110" t="str"/>
      <x:c r="G86" s="112" t="str"/>
      <x:c r="H86" s="112" t="str"/>
      <x:c r="I86" s="110" t="str"/>
      <x:c r="J86" s="110" t="str"/>
      <x:c r="K86" s="110" t="str"/>
      <x:c r="L86" s="110" t="str"/>
      <x:c r="M86" s="110" t="str"/>
      <x:c r="N86" s="110" t="str"/>
      <x:c r="O86" s="110" t="str"/>
      <x:c r="P86" s="110" t="str"/>
      <x:c r="Q86" s="110" t="str"/>
      <x:c r="R86" s="110" t="str"/>
      <x:c r="S86" s="110" t="str"/>
      <x:c r="T86" s="110" t="str"/>
      <x:c r="U86" s="110" t="str"/>
      <x:c r="V86" s="110" t="str"/>
    </x:row>
    <x:row r="87" ht="32" customHeight="1">
      <x:c r="A87" s="110" t="str"/>
      <x:c r="B87" s="110" t="str"/>
      <x:c r="C87" s="110" t="str"/>
      <x:c r="D87" s="110" t="str"/>
      <x:c r="E87" s="110" t="str"/>
      <x:c r="F87" s="110" t="str"/>
      <x:c r="G87" s="112" t="str"/>
      <x:c r="H87" s="112" t="str"/>
      <x:c r="I87" s="110" t="str"/>
      <x:c r="J87" s="110" t="str"/>
      <x:c r="K87" s="110" t="str"/>
      <x:c r="L87" s="110" t="str"/>
      <x:c r="M87" s="110" t="str"/>
      <x:c r="N87" s="110" t="str"/>
      <x:c r="O87" s="110" t="str"/>
      <x:c r="P87" s="110" t="str"/>
      <x:c r="Q87" s="110" t="str"/>
      <x:c r="R87" s="110" t="str"/>
      <x:c r="S87" s="110" t="str"/>
      <x:c r="T87" s="110" t="str"/>
      <x:c r="U87" s="110" t="str"/>
      <x:c r="V87" s="110" t="str"/>
    </x:row>
    <x:row r="88" ht="32" customHeight="1">
      <x:c r="A88" s="110" t="str"/>
      <x:c r="B88" s="110" t="str"/>
      <x:c r="C88" s="110" t="str"/>
      <x:c r="D88" s="110" t="str"/>
      <x:c r="E88" s="110" t="str"/>
      <x:c r="F88" s="110" t="str"/>
      <x:c r="G88" s="112" t="str"/>
      <x:c r="H88" s="112" t="str"/>
      <x:c r="I88" s="110" t="str"/>
      <x:c r="J88" s="110" t="str"/>
      <x:c r="K88" s="110" t="str"/>
      <x:c r="L88" s="110" t="str"/>
      <x:c r="M88" s="110" t="str"/>
      <x:c r="N88" s="110" t="str"/>
      <x:c r="O88" s="110" t="str"/>
      <x:c r="P88" s="110" t="str"/>
      <x:c r="Q88" s="110" t="str"/>
      <x:c r="R88" s="110" t="str"/>
      <x:c r="S88" s="110" t="str"/>
      <x:c r="T88" s="110" t="str"/>
      <x:c r="U88" s="110" t="str"/>
      <x:c r="V88" s="110" t="str"/>
    </x:row>
    <x:row r="89" ht="32" customHeight="1">
      <x:c r="A89" s="110" t="str"/>
      <x:c r="B89" s="110" t="str"/>
      <x:c r="C89" s="110" t="str"/>
      <x:c r="D89" s="110" t="str"/>
      <x:c r="E89" s="110" t="str"/>
      <x:c r="F89" s="110" t="str"/>
      <x:c r="G89" s="112" t="str"/>
      <x:c r="H89" s="112" t="str"/>
      <x:c r="I89" s="110" t="str"/>
      <x:c r="J89" s="110" t="str"/>
      <x:c r="K89" s="110" t="str"/>
      <x:c r="L89" s="110" t="str"/>
      <x:c r="M89" s="110" t="str"/>
      <x:c r="N89" s="110" t="str"/>
      <x:c r="O89" s="110" t="str"/>
      <x:c r="P89" s="110" t="str"/>
      <x:c r="Q89" s="110" t="str"/>
      <x:c r="R89" s="110" t="str"/>
      <x:c r="S89" s="110" t="str"/>
      <x:c r="T89" s="110" t="str"/>
      <x:c r="U89" s="110" t="str"/>
      <x:c r="V89" s="110" t="str"/>
    </x:row>
    <x:row r="90" ht="32" customHeight="1">
      <x:c r="A90" s="110" t="str"/>
      <x:c r="B90" s="110" t="str"/>
      <x:c r="C90" s="110" t="str"/>
      <x:c r="D90" s="110" t="str"/>
      <x:c r="E90" s="110" t="str"/>
      <x:c r="F90" s="110" t="str"/>
      <x:c r="G90" s="112" t="str"/>
      <x:c r="H90" s="112" t="str"/>
      <x:c r="I90" s="110" t="str"/>
      <x:c r="J90" s="110" t="str"/>
      <x:c r="K90" s="110" t="str"/>
      <x:c r="L90" s="110" t="str"/>
      <x:c r="M90" s="110" t="str"/>
      <x:c r="N90" s="110" t="str"/>
      <x:c r="O90" s="110" t="str"/>
      <x:c r="P90" s="110" t="str"/>
      <x:c r="Q90" s="110" t="str"/>
      <x:c r="R90" s="110" t="str"/>
      <x:c r="S90" s="110" t="str"/>
      <x:c r="T90" s="110" t="str"/>
      <x:c r="U90" s="110" t="str"/>
      <x:c r="V90" s="110" t="str"/>
    </x:row>
    <x:row r="91" ht="32" customHeight="1">
      <x:c r="A91" s="110" t="str"/>
      <x:c r="B91" s="110" t="str"/>
      <x:c r="C91" s="110" t="str"/>
      <x:c r="D91" s="110" t="str"/>
      <x:c r="E91" s="110" t="str"/>
      <x:c r="F91" s="110" t="str"/>
      <x:c r="G91" s="112" t="str"/>
      <x:c r="H91" s="112" t="str"/>
      <x:c r="I91" s="110" t="str"/>
      <x:c r="J91" s="110" t="str"/>
      <x:c r="K91" s="110" t="str"/>
      <x:c r="L91" s="110" t="str"/>
      <x:c r="M91" s="110" t="str"/>
      <x:c r="N91" s="110" t="str"/>
      <x:c r="O91" s="110" t="str"/>
      <x:c r="P91" s="110" t="str"/>
      <x:c r="Q91" s="110" t="str"/>
      <x:c r="R91" s="110" t="str"/>
      <x:c r="S91" s="110" t="str"/>
      <x:c r="T91" s="110" t="str"/>
      <x:c r="U91" s="110" t="str"/>
      <x:c r="V91" s="110" t="str"/>
    </x:row>
    <x:row r="92" ht="32" customHeight="1">
      <x:c r="A92" s="110" t="str"/>
      <x:c r="B92" s="110" t="str"/>
      <x:c r="C92" s="110" t="str"/>
      <x:c r="D92" s="110" t="str"/>
      <x:c r="E92" s="110" t="str"/>
      <x:c r="F92" s="110" t="str"/>
      <x:c r="G92" s="112" t="str"/>
      <x:c r="H92" s="112" t="str"/>
      <x:c r="I92" s="110" t="str"/>
      <x:c r="J92" s="110" t="str"/>
      <x:c r="K92" s="110" t="str"/>
      <x:c r="L92" s="110" t="str"/>
      <x:c r="M92" s="110" t="str"/>
      <x:c r="N92" s="110" t="str"/>
      <x:c r="O92" s="110" t="str"/>
      <x:c r="P92" s="110" t="str"/>
      <x:c r="Q92" s="110" t="str"/>
      <x:c r="R92" s="110" t="str"/>
      <x:c r="S92" s="110" t="str"/>
      <x:c r="T92" s="110" t="str"/>
      <x:c r="U92" s="110" t="str"/>
      <x:c r="V92" s="110" t="str"/>
    </x:row>
    <x:row r="93" ht="32" customHeight="1">
      <x:c r="A93" s="110" t="str"/>
      <x:c r="B93" s="110" t="str"/>
      <x:c r="C93" s="110" t="str"/>
      <x:c r="D93" s="110" t="str"/>
      <x:c r="E93" s="110" t="str"/>
      <x:c r="F93" s="110" t="str"/>
      <x:c r="G93" s="112" t="str"/>
      <x:c r="H93" s="112" t="str"/>
      <x:c r="I93" s="110" t="str"/>
      <x:c r="J93" s="110" t="str"/>
      <x:c r="K93" s="110" t="str"/>
      <x:c r="L93" s="110" t="str"/>
      <x:c r="M93" s="110" t="str"/>
      <x:c r="N93" s="110" t="str"/>
      <x:c r="O93" s="110" t="str"/>
      <x:c r="P93" s="110" t="str"/>
      <x:c r="Q93" s="110" t="str"/>
      <x:c r="R93" s="110" t="str"/>
      <x:c r="S93" s="110" t="str"/>
      <x:c r="T93" s="110" t="str"/>
      <x:c r="U93" s="110" t="str"/>
      <x:c r="V93" s="110" t="str"/>
    </x:row>
    <x:row r="94" ht="32" customHeight="1">
      <x:c r="A94" s="110" t="str"/>
      <x:c r="B94" s="110" t="str"/>
      <x:c r="C94" s="110" t="str"/>
      <x:c r="D94" s="110" t="str"/>
      <x:c r="E94" s="110" t="str"/>
      <x:c r="F94" s="110" t="str"/>
      <x:c r="G94" s="112" t="str"/>
      <x:c r="H94" s="112" t="str"/>
      <x:c r="I94" s="110" t="str"/>
      <x:c r="J94" s="110" t="str"/>
      <x:c r="K94" s="110" t="str"/>
      <x:c r="L94" s="110" t="str"/>
      <x:c r="M94" s="110" t="str"/>
      <x:c r="N94" s="110" t="str"/>
      <x:c r="O94" s="110" t="str"/>
      <x:c r="P94" s="110" t="str"/>
      <x:c r="Q94" s="110" t="str"/>
      <x:c r="R94" s="110" t="str"/>
      <x:c r="S94" s="110" t="str"/>
      <x:c r="T94" s="110" t="str"/>
      <x:c r="U94" s="110" t="str"/>
      <x:c r="V94" s="110" t="str"/>
    </x:row>
    <x:row r="95" ht="32" customHeight="1">
      <x:c r="A95" s="110" t="str"/>
      <x:c r="B95" s="110" t="str"/>
      <x:c r="C95" s="110" t="str"/>
      <x:c r="D95" s="110" t="str"/>
      <x:c r="E95" s="110" t="str"/>
      <x:c r="F95" s="110" t="str"/>
      <x:c r="G95" s="112" t="str"/>
      <x:c r="H95" s="112" t="str"/>
      <x:c r="I95" s="110" t="str"/>
      <x:c r="J95" s="110" t="str"/>
      <x:c r="K95" s="110" t="str"/>
      <x:c r="L95" s="110" t="str"/>
      <x:c r="M95" s="110" t="str"/>
      <x:c r="N95" s="110" t="str"/>
      <x:c r="O95" s="110" t="str"/>
      <x:c r="P95" s="110" t="str"/>
      <x:c r="Q95" s="110" t="str"/>
      <x:c r="R95" s="110" t="str"/>
      <x:c r="S95" s="110" t="str"/>
      <x:c r="T95" s="110" t="str"/>
      <x:c r="U95" s="110" t="str"/>
      <x:c r="V95" s="110" t="str"/>
    </x:row>
    <x:row r="96" ht="32" customHeight="1">
      <x:c r="A96" s="110" t="str"/>
      <x:c r="B96" s="110" t="str"/>
      <x:c r="C96" s="110" t="str"/>
      <x:c r="D96" s="110" t="str"/>
      <x:c r="E96" s="110" t="str"/>
      <x:c r="F96" s="110" t="str"/>
      <x:c r="G96" s="112" t="str"/>
      <x:c r="H96" s="112" t="str"/>
      <x:c r="I96" s="110" t="str"/>
      <x:c r="J96" s="110" t="str"/>
      <x:c r="K96" s="110" t="str"/>
      <x:c r="L96" s="110" t="str"/>
      <x:c r="M96" s="110" t="str"/>
      <x:c r="N96" s="110" t="str"/>
      <x:c r="O96" s="110" t="str"/>
      <x:c r="P96" s="110" t="str"/>
      <x:c r="Q96" s="110" t="str"/>
      <x:c r="R96" s="110" t="str"/>
      <x:c r="S96" s="110" t="str"/>
      <x:c r="T96" s="110" t="str"/>
      <x:c r="U96" s="110" t="str"/>
      <x:c r="V96" s="110" t="str"/>
    </x:row>
    <x:row r="97" ht="32" customHeight="1">
      <x:c r="A97" s="110" t="str"/>
      <x:c r="B97" s="110" t="str"/>
      <x:c r="C97" s="110" t="str"/>
      <x:c r="D97" s="110" t="str"/>
      <x:c r="E97" s="110" t="str"/>
      <x:c r="F97" s="110" t="str"/>
      <x:c r="G97" s="112" t="str"/>
      <x:c r="H97" s="112" t="str"/>
      <x:c r="I97" s="110" t="str"/>
      <x:c r="J97" s="110" t="str"/>
      <x:c r="K97" s="110" t="str"/>
      <x:c r="L97" s="110" t="str"/>
      <x:c r="M97" s="110" t="str"/>
      <x:c r="N97" s="110" t="str"/>
      <x:c r="O97" s="110" t="str"/>
      <x:c r="P97" s="110" t="str"/>
      <x:c r="Q97" s="110" t="str"/>
      <x:c r="R97" s="110" t="str"/>
      <x:c r="S97" s="110" t="str"/>
      <x:c r="T97" s="110" t="str"/>
      <x:c r="U97" s="110" t="str"/>
      <x:c r="V97" s="110" t="str"/>
    </x:row>
    <x:row r="98" ht="32" customHeight="1">
      <x:c r="A98" s="110" t="str"/>
      <x:c r="B98" s="110" t="str"/>
      <x:c r="C98" s="110" t="str"/>
      <x:c r="D98" s="110" t="str"/>
      <x:c r="E98" s="110" t="str"/>
      <x:c r="F98" s="110" t="str"/>
      <x:c r="G98" s="112" t="str"/>
      <x:c r="H98" s="112" t="str"/>
      <x:c r="I98" s="110" t="str"/>
      <x:c r="J98" s="110" t="str"/>
      <x:c r="K98" s="110" t="str"/>
      <x:c r="L98" s="110" t="str"/>
      <x:c r="M98" s="110" t="str"/>
      <x:c r="N98" s="110" t="str"/>
      <x:c r="O98" s="110" t="str"/>
      <x:c r="P98" s="110" t="str"/>
      <x:c r="Q98" s="110" t="str"/>
      <x:c r="R98" s="110" t="str"/>
      <x:c r="S98" s="110" t="str"/>
      <x:c r="T98" s="110" t="str"/>
      <x:c r="U98" s="110" t="str"/>
      <x:c r="V98" s="110" t="str"/>
    </x:row>
    <x:row r="99" ht="32" customHeight="1">
      <x:c r="A99" s="110" t="str"/>
      <x:c r="B99" s="110" t="str"/>
      <x:c r="C99" s="110" t="str"/>
      <x:c r="D99" s="110" t="str"/>
      <x:c r="E99" s="110" t="str"/>
      <x:c r="F99" s="110" t="str"/>
      <x:c r="G99" s="112" t="str"/>
      <x:c r="H99" s="112" t="str"/>
      <x:c r="I99" s="110" t="str"/>
      <x:c r="J99" s="110" t="str"/>
      <x:c r="K99" s="110" t="str"/>
      <x:c r="L99" s="110" t="str"/>
      <x:c r="M99" s="110" t="str"/>
      <x:c r="N99" s="110" t="str"/>
      <x:c r="O99" s="110" t="str"/>
      <x:c r="P99" s="110" t="str"/>
      <x:c r="Q99" s="110" t="str"/>
      <x:c r="R99" s="110" t="str"/>
      <x:c r="S99" s="110" t="str"/>
      <x:c r="T99" s="110" t="str"/>
      <x:c r="U99" s="110" t="str"/>
      <x:c r="V99" s="110" t="str"/>
    </x:row>
    <x:row r="100" ht="32" customHeight="1">
      <x:c r="A100" s="110" t="str"/>
      <x:c r="B100" s="110" t="str"/>
      <x:c r="C100" s="110" t="str"/>
      <x:c r="D100" s="110" t="str"/>
      <x:c r="E100" s="110" t="str"/>
      <x:c r="F100" s="110" t="str"/>
      <x:c r="G100" s="112" t="str"/>
      <x:c r="H100" s="112" t="str"/>
      <x:c r="I100" s="110" t="str"/>
      <x:c r="J100" s="110" t="str"/>
      <x:c r="K100" s="110" t="str"/>
      <x:c r="L100" s="110" t="str"/>
      <x:c r="M100" s="110" t="str"/>
      <x:c r="N100" s="110" t="str"/>
      <x:c r="O100" s="110" t="str"/>
      <x:c r="P100" s="110" t="str"/>
      <x:c r="Q100" s="110" t="str"/>
      <x:c r="R100" s="110" t="str"/>
      <x:c r="S100" s="110" t="str"/>
      <x:c r="T100" s="110" t="str"/>
      <x:c r="U100" s="110" t="str"/>
      <x:c r="V100" s="110" t="str"/>
    </x:row>
    <x:row r="101" ht="32" customHeight="1">
      <x:c r="A101" s="110" t="str"/>
      <x:c r="B101" s="110" t="str"/>
      <x:c r="C101" s="110" t="str"/>
      <x:c r="D101" s="110" t="str"/>
      <x:c r="E101" s="110" t="str"/>
      <x:c r="F101" s="110" t="str"/>
      <x:c r="G101" s="112" t="str"/>
      <x:c r="H101" s="112" t="str"/>
      <x:c r="I101" s="110" t="str"/>
      <x:c r="J101" s="110" t="str"/>
      <x:c r="K101" s="110" t="str"/>
      <x:c r="L101" s="110" t="str"/>
      <x:c r="M101" s="110" t="str"/>
      <x:c r="N101" s="110" t="str"/>
      <x:c r="O101" s="110" t="str"/>
      <x:c r="P101" s="110" t="str"/>
      <x:c r="Q101" s="110" t="str"/>
      <x:c r="R101" s="110" t="str"/>
      <x:c r="S101" s="110" t="str"/>
      <x:c r="T101" s="110" t="str"/>
      <x:c r="U101" s="110" t="str"/>
      <x:c r="V101" s="110" t="str"/>
    </x:row>
    <x:row r="102" ht="32" customHeight="1">
      <x:c r="A102" s="110" t="str"/>
      <x:c r="B102" s="110" t="str"/>
      <x:c r="C102" s="110" t="str"/>
      <x:c r="D102" s="110" t="str"/>
      <x:c r="E102" s="110" t="str"/>
      <x:c r="F102" s="110" t="str"/>
      <x:c r="G102" s="112" t="str"/>
      <x:c r="H102" s="112" t="str"/>
      <x:c r="I102" s="110" t="str"/>
      <x:c r="J102" s="110" t="str"/>
      <x:c r="K102" s="110" t="str"/>
      <x:c r="L102" s="110" t="str"/>
      <x:c r="M102" s="110" t="str"/>
      <x:c r="N102" s="110" t="str"/>
      <x:c r="O102" s="110" t="str"/>
      <x:c r="P102" s="110" t="str"/>
      <x:c r="Q102" s="110" t="str"/>
      <x:c r="R102" s="110" t="str"/>
      <x:c r="S102" s="110" t="str"/>
      <x:c r="T102" s="110" t="str"/>
      <x:c r="U102" s="110" t="str"/>
      <x:c r="V102" s="110" t="str"/>
    </x:row>
    <x:row r="103" ht="32" customHeight="1">
      <x:c r="A103" s="110" t="str"/>
      <x:c r="B103" s="110" t="str"/>
      <x:c r="C103" s="110" t="str"/>
      <x:c r="D103" s="110" t="str"/>
      <x:c r="E103" s="110" t="str"/>
      <x:c r="F103" s="110" t="str"/>
      <x:c r="G103" s="112" t="str"/>
      <x:c r="H103" s="112" t="str"/>
      <x:c r="I103" s="110" t="str"/>
      <x:c r="J103" s="110" t="str"/>
      <x:c r="K103" s="110" t="str"/>
      <x:c r="L103" s="110" t="str"/>
      <x:c r="M103" s="110" t="str"/>
      <x:c r="N103" s="110" t="str"/>
      <x:c r="O103" s="110" t="str"/>
      <x:c r="P103" s="110" t="str"/>
      <x:c r="Q103" s="110" t="str"/>
      <x:c r="R103" s="110" t="str"/>
      <x:c r="S103" s="110" t="str"/>
      <x:c r="T103" s="110" t="str"/>
      <x:c r="U103" s="110" t="str"/>
      <x:c r="V103" s="110" t="str"/>
    </x:row>
    <x:row r="104" ht="32" customHeight="1">
      <x:c r="A104" s="110" t="str"/>
      <x:c r="B104" s="110" t="str"/>
      <x:c r="C104" s="110" t="str"/>
      <x:c r="D104" s="110" t="str"/>
      <x:c r="E104" s="110" t="str"/>
      <x:c r="F104" s="110" t="str"/>
      <x:c r="G104" s="112" t="str"/>
      <x:c r="H104" s="112" t="str"/>
      <x:c r="I104" s="110" t="str"/>
      <x:c r="J104" s="110" t="str"/>
      <x:c r="K104" s="110" t="str"/>
      <x:c r="L104" s="110" t="str"/>
      <x:c r="M104" s="110" t="str"/>
      <x:c r="N104" s="110" t="str"/>
      <x:c r="O104" s="110" t="str"/>
      <x:c r="P104" s="110" t="str"/>
      <x:c r="Q104" s="110" t="str"/>
      <x:c r="R104" s="110" t="str"/>
      <x:c r="S104" s="110" t="str"/>
      <x:c r="T104" s="110" t="str"/>
      <x:c r="U104" s="110" t="str"/>
      <x:c r="V104" s="110" t="str"/>
    </x:row>
    <x:row r="105" ht="32" customHeight="1">
      <x:c r="A105" s="110" t="str"/>
      <x:c r="B105" s="110" t="str"/>
      <x:c r="C105" s="110" t="str"/>
      <x:c r="D105" s="110" t="str"/>
      <x:c r="E105" s="110" t="str"/>
      <x:c r="F105" s="110" t="str"/>
      <x:c r="G105" s="112" t="str"/>
      <x:c r="H105" s="112" t="str"/>
      <x:c r="I105" s="110" t="str"/>
      <x:c r="J105" s="110" t="str"/>
      <x:c r="K105" s="110" t="str"/>
      <x:c r="L105" s="110" t="str"/>
      <x:c r="M105" s="110" t="str"/>
      <x:c r="N105" s="110" t="str"/>
      <x:c r="O105" s="110" t="str"/>
      <x:c r="P105" s="110" t="str"/>
      <x:c r="Q105" s="110" t="str"/>
      <x:c r="R105" s="110" t="str"/>
      <x:c r="S105" s="110" t="str"/>
      <x:c r="T105" s="110" t="str"/>
      <x:c r="U105" s="110" t="str"/>
      <x:c r="V105" s="110" t="str"/>
    </x:row>
    <x:row r="106" ht="32" customHeight="1">
      <x:c r="A106" s="110" t="str"/>
      <x:c r="B106" s="110" t="str"/>
      <x:c r="C106" s="110" t="str"/>
      <x:c r="D106" s="110" t="str"/>
      <x:c r="E106" s="110" t="str"/>
      <x:c r="F106" s="110" t="str"/>
      <x:c r="G106" s="112" t="str"/>
      <x:c r="H106" s="112" t="str"/>
      <x:c r="I106" s="110" t="str"/>
      <x:c r="J106" s="110" t="str"/>
      <x:c r="K106" s="110" t="str"/>
      <x:c r="L106" s="110" t="str"/>
      <x:c r="M106" s="110" t="str"/>
      <x:c r="N106" s="110" t="str"/>
      <x:c r="O106" s="110" t="str"/>
      <x:c r="P106" s="110" t="str"/>
      <x:c r="Q106" s="110" t="str"/>
      <x:c r="R106" s="110" t="str"/>
      <x:c r="S106" s="110" t="str"/>
      <x:c r="T106" s="110" t="str"/>
      <x:c r="U106" s="110" t="str"/>
      <x:c r="V106" s="110" t="str"/>
    </x:row>
    <x:row r="107" ht="32" customHeight="1">
      <x:c r="A107" s="110" t="str"/>
      <x:c r="B107" s="110" t="str"/>
      <x:c r="C107" s="110" t="str"/>
      <x:c r="D107" s="110" t="str"/>
      <x:c r="E107" s="110" t="str"/>
      <x:c r="F107" s="110" t="str"/>
      <x:c r="G107" s="112" t="str"/>
      <x:c r="H107" s="112" t="str"/>
      <x:c r="I107" s="110" t="str"/>
      <x:c r="J107" s="110" t="str"/>
      <x:c r="K107" s="110" t="str"/>
      <x:c r="L107" s="110" t="str"/>
      <x:c r="M107" s="110" t="str"/>
      <x:c r="N107" s="110" t="str"/>
      <x:c r="O107" s="110" t="str"/>
      <x:c r="P107" s="110" t="str"/>
      <x:c r="Q107" s="110" t="str"/>
      <x:c r="R107" s="110" t="str"/>
      <x:c r="S107" s="110" t="str"/>
      <x:c r="T107" s="110" t="str"/>
      <x:c r="U107" s="110" t="str"/>
      <x:c r="V107" s="110" t="str"/>
    </x:row>
    <x:row r="108" ht="32" customHeight="1">
      <x:c r="A108" s="110" t="str"/>
      <x:c r="B108" s="110" t="str"/>
      <x:c r="C108" s="110" t="str"/>
      <x:c r="D108" s="110" t="str"/>
      <x:c r="E108" s="110" t="str"/>
      <x:c r="F108" s="110" t="str"/>
      <x:c r="G108" s="112" t="str"/>
      <x:c r="H108" s="112" t="str"/>
      <x:c r="I108" s="110" t="str"/>
      <x:c r="J108" s="110" t="str"/>
      <x:c r="K108" s="110" t="str"/>
      <x:c r="L108" s="110" t="str"/>
      <x:c r="M108" s="110" t="str"/>
      <x:c r="N108" s="110" t="str"/>
      <x:c r="O108" s="110" t="str"/>
      <x:c r="P108" s="110" t="str"/>
      <x:c r="Q108" s="110" t="str"/>
      <x:c r="R108" s="110" t="str"/>
      <x:c r="S108" s="110" t="str"/>
      <x:c r="T108" s="110" t="str"/>
      <x:c r="U108" s="110" t="str"/>
      <x:c r="V108" s="110" t="str"/>
    </x:row>
    <x:row r="109" ht="32" customHeight="1">
      <x:c r="A109" s="110" t="str"/>
      <x:c r="B109" s="110" t="str"/>
      <x:c r="C109" s="110" t="str"/>
      <x:c r="D109" s="110" t="str"/>
      <x:c r="E109" s="110" t="str"/>
      <x:c r="F109" s="110" t="str"/>
      <x:c r="G109" s="112" t="str"/>
      <x:c r="H109" s="112" t="str"/>
      <x:c r="I109" s="110" t="str"/>
      <x:c r="J109" s="110" t="str"/>
      <x:c r="K109" s="110" t="str"/>
      <x:c r="L109" s="110" t="str"/>
      <x:c r="M109" s="110" t="str"/>
      <x:c r="N109" s="110" t="str"/>
      <x:c r="O109" s="110" t="str"/>
      <x:c r="P109" s="110" t="str"/>
      <x:c r="Q109" s="110" t="str"/>
      <x:c r="R109" s="110" t="str"/>
      <x:c r="S109" s="110" t="str"/>
      <x:c r="T109" s="110" t="str"/>
      <x:c r="U109" s="110" t="str"/>
      <x:c r="V109" s="110" t="str"/>
    </x:row>
    <x:row r="110" ht="32" customHeight="1">
      <x:c r="A110" s="110" t="str"/>
      <x:c r="B110" s="110" t="str"/>
      <x:c r="C110" s="110" t="str"/>
      <x:c r="D110" s="110" t="str"/>
      <x:c r="E110" s="110" t="str"/>
      <x:c r="F110" s="110" t="str"/>
      <x:c r="G110" s="112" t="str"/>
      <x:c r="H110" s="112" t="str"/>
      <x:c r="I110" s="110" t="str"/>
      <x:c r="J110" s="110" t="str"/>
      <x:c r="K110" s="110" t="str"/>
      <x:c r="L110" s="110" t="str"/>
      <x:c r="M110" s="110" t="str"/>
      <x:c r="N110" s="110" t="str"/>
      <x:c r="O110" s="110" t="str"/>
      <x:c r="P110" s="110" t="str"/>
      <x:c r="Q110" s="110" t="str"/>
      <x:c r="R110" s="110" t="str"/>
      <x:c r="S110" s="110" t="str"/>
      <x:c r="T110" s="110" t="str"/>
      <x:c r="U110" s="110" t="str"/>
      <x:c r="V110" s="110" t="str"/>
    </x:row>
    <x:row r="111" ht="32" customHeight="1">
      <x:c r="A111" s="110" t="str"/>
      <x:c r="B111" s="110" t="str"/>
      <x:c r="C111" s="110" t="str"/>
      <x:c r="D111" s="110" t="str"/>
      <x:c r="E111" s="110" t="str"/>
      <x:c r="F111" s="110" t="str"/>
      <x:c r="G111" s="112" t="str"/>
      <x:c r="H111" s="112" t="str"/>
      <x:c r="I111" s="110" t="str"/>
      <x:c r="J111" s="110" t="str"/>
      <x:c r="K111" s="110" t="str"/>
      <x:c r="L111" s="110" t="str"/>
      <x:c r="M111" s="110" t="str"/>
      <x:c r="N111" s="110" t="str"/>
      <x:c r="O111" s="110" t="str"/>
      <x:c r="P111" s="110" t="str"/>
      <x:c r="Q111" s="110" t="str"/>
      <x:c r="R111" s="110" t="str"/>
      <x:c r="S111" s="110" t="str"/>
      <x:c r="T111" s="110" t="str"/>
      <x:c r="U111" s="110" t="str"/>
      <x:c r="V111" s="110" t="str"/>
    </x:row>
    <x:row r="112" ht="32" customHeight="1">
      <x:c r="A112" s="110" t="str"/>
      <x:c r="B112" s="110" t="str"/>
      <x:c r="C112" s="110" t="str"/>
      <x:c r="D112" s="110" t="str"/>
      <x:c r="E112" s="110" t="str"/>
      <x:c r="F112" s="110" t="str"/>
      <x:c r="G112" s="112" t="str"/>
      <x:c r="H112" s="112" t="str"/>
      <x:c r="I112" s="110" t="str"/>
      <x:c r="J112" s="110" t="str"/>
      <x:c r="K112" s="110" t="str"/>
      <x:c r="L112" s="110" t="str"/>
      <x:c r="M112" s="110" t="str"/>
      <x:c r="N112" s="110" t="str"/>
      <x:c r="O112" s="110" t="str"/>
      <x:c r="P112" s="110" t="str"/>
      <x:c r="Q112" s="110" t="str"/>
      <x:c r="R112" s="110" t="str"/>
      <x:c r="S112" s="110" t="str"/>
      <x:c r="T112" s="110" t="str"/>
      <x:c r="U112" s="110" t="str"/>
      <x:c r="V112" s="110" t="str"/>
    </x:row>
    <x:row r="113" ht="32" customHeight="1">
      <x:c r="A113" s="110" t="str"/>
      <x:c r="B113" s="110" t="str"/>
      <x:c r="C113" s="110" t="str"/>
      <x:c r="D113" s="110" t="str"/>
      <x:c r="E113" s="110" t="str"/>
      <x:c r="F113" s="110" t="str"/>
      <x:c r="G113" s="112" t="str"/>
      <x:c r="H113" s="112" t="str"/>
      <x:c r="I113" s="110" t="str"/>
      <x:c r="J113" s="110" t="str"/>
      <x:c r="K113" s="110" t="str"/>
      <x:c r="L113" s="110" t="str"/>
      <x:c r="M113" s="110" t="str"/>
      <x:c r="N113" s="110" t="str"/>
      <x:c r="O113" s="110" t="str"/>
      <x:c r="P113" s="110" t="str"/>
      <x:c r="Q113" s="110" t="str"/>
      <x:c r="R113" s="110" t="str"/>
      <x:c r="S113" s="110" t="str"/>
      <x:c r="T113" s="110" t="str"/>
      <x:c r="U113" s="110" t="str"/>
      <x:c r="V113" s="110" t="str"/>
    </x:row>
    <x:row r="114" ht="32" customHeight="1">
      <x:c r="A114" s="110" t="str"/>
      <x:c r="B114" s="110" t="str"/>
      <x:c r="C114" s="110" t="str"/>
      <x:c r="D114" s="110" t="str"/>
      <x:c r="E114" s="110" t="str"/>
      <x:c r="F114" s="110" t="str"/>
      <x:c r="G114" s="112" t="str"/>
      <x:c r="H114" s="112" t="str"/>
      <x:c r="I114" s="110" t="str"/>
      <x:c r="J114" s="110" t="str"/>
      <x:c r="K114" s="110" t="str"/>
      <x:c r="L114" s="110" t="str"/>
      <x:c r="M114" s="110" t="str"/>
      <x:c r="N114" s="110" t="str"/>
      <x:c r="O114" s="110" t="str"/>
      <x:c r="P114" s="110" t="str"/>
      <x:c r="Q114" s="110" t="str"/>
      <x:c r="R114" s="110" t="str"/>
      <x:c r="S114" s="110" t="str"/>
      <x:c r="T114" s="110" t="str"/>
      <x:c r="U114" s="110" t="str"/>
      <x:c r="V114" s="110" t="str"/>
    </x:row>
    <x:row r="115" ht="32" customHeight="1">
      <x:c r="A115" s="110" t="str"/>
      <x:c r="B115" s="110" t="str"/>
      <x:c r="C115" s="110" t="str"/>
      <x:c r="D115" s="110" t="str"/>
      <x:c r="E115" s="110" t="str"/>
      <x:c r="F115" s="110" t="str"/>
      <x:c r="G115" s="112" t="str"/>
      <x:c r="H115" s="112" t="str"/>
      <x:c r="I115" s="110" t="str"/>
      <x:c r="J115" s="110" t="str"/>
      <x:c r="K115" s="110" t="str"/>
      <x:c r="L115" s="110" t="str"/>
      <x:c r="M115" s="110" t="str"/>
      <x:c r="N115" s="110" t="str"/>
      <x:c r="O115" s="110" t="str"/>
      <x:c r="P115" s="110" t="str"/>
      <x:c r="Q115" s="110" t="str"/>
      <x:c r="R115" s="110" t="str"/>
      <x:c r="S115" s="110" t="str"/>
      <x:c r="T115" s="110" t="str"/>
      <x:c r="U115" s="110" t="str"/>
      <x:c r="V115" s="110" t="str"/>
    </x:row>
    <x:row r="116" ht="32" customHeight="1">
      <x:c r="A116" s="110" t="str"/>
      <x:c r="B116" s="110" t="str"/>
      <x:c r="C116" s="110" t="str"/>
      <x:c r="D116" s="110" t="str"/>
      <x:c r="E116" s="110" t="str"/>
      <x:c r="F116" s="110" t="str"/>
      <x:c r="G116" s="112" t="str"/>
      <x:c r="H116" s="112" t="str"/>
      <x:c r="I116" s="110" t="str"/>
      <x:c r="J116" s="110" t="str"/>
      <x:c r="K116" s="110" t="str"/>
      <x:c r="L116" s="110" t="str"/>
      <x:c r="M116" s="110" t="str"/>
      <x:c r="N116" s="110" t="str"/>
      <x:c r="O116" s="110" t="str"/>
      <x:c r="P116" s="110" t="str"/>
      <x:c r="Q116" s="110" t="str"/>
      <x:c r="R116" s="110" t="str"/>
      <x:c r="S116" s="110" t="str"/>
      <x:c r="T116" s="110" t="str"/>
      <x:c r="U116" s="110" t="str"/>
      <x:c r="V116" s="110" t="str"/>
    </x:row>
    <x:row r="117" ht="32" customHeight="1">
      <x:c r="A117" s="110" t="str"/>
      <x:c r="B117" s="110" t="str"/>
      <x:c r="C117" s="110" t="str"/>
      <x:c r="D117" s="110" t="str"/>
      <x:c r="E117" s="110" t="str"/>
      <x:c r="F117" s="110" t="str"/>
      <x:c r="G117" s="112" t="str"/>
      <x:c r="H117" s="112" t="str"/>
      <x:c r="I117" s="110" t="str"/>
      <x:c r="J117" s="110" t="str"/>
      <x:c r="K117" s="110" t="str"/>
      <x:c r="L117" s="110" t="str"/>
      <x:c r="M117" s="110" t="str"/>
      <x:c r="N117" s="110" t="str"/>
      <x:c r="O117" s="110" t="str"/>
      <x:c r="P117" s="110" t="str"/>
      <x:c r="Q117" s="110" t="str"/>
      <x:c r="R117" s="110" t="str"/>
      <x:c r="S117" s="110" t="str"/>
      <x:c r="T117" s="110" t="str"/>
      <x:c r="U117" s="110" t="str"/>
      <x:c r="V117" s="110" t="str"/>
    </x:row>
    <x:row r="118" ht="32" customHeight="1">
      <x:c r="A118" s="110" t="str"/>
      <x:c r="B118" s="110" t="str"/>
      <x:c r="C118" s="110" t="str"/>
      <x:c r="D118" s="110" t="str"/>
      <x:c r="E118" s="110" t="str"/>
      <x:c r="F118" s="110" t="str"/>
      <x:c r="G118" s="112" t="str"/>
      <x:c r="H118" s="112" t="str"/>
      <x:c r="I118" s="110" t="str"/>
      <x:c r="J118" s="110" t="str"/>
      <x:c r="K118" s="110" t="str"/>
      <x:c r="L118" s="110" t="str"/>
      <x:c r="M118" s="110" t="str"/>
      <x:c r="N118" s="110" t="str"/>
      <x:c r="O118" s="110" t="str"/>
      <x:c r="P118" s="110" t="str"/>
      <x:c r="Q118" s="110" t="str"/>
      <x:c r="R118" s="110" t="str"/>
      <x:c r="S118" s="110" t="str"/>
      <x:c r="T118" s="110" t="str"/>
      <x:c r="U118" s="110" t="str"/>
      <x:c r="V118" s="110" t="str"/>
    </x:row>
    <x:row r="119" ht="32" customHeight="1">
      <x:c r="A119" s="110" t="str"/>
      <x:c r="B119" s="110" t="str"/>
      <x:c r="C119" s="110" t="str"/>
      <x:c r="D119" s="110" t="str"/>
      <x:c r="E119" s="110" t="str"/>
      <x:c r="F119" s="110" t="str"/>
      <x:c r="G119" s="112" t="str"/>
      <x:c r="H119" s="112" t="str"/>
      <x:c r="I119" s="110" t="str"/>
      <x:c r="J119" s="110" t="str"/>
      <x:c r="K119" s="110" t="str"/>
      <x:c r="L119" s="110" t="str"/>
      <x:c r="M119" s="110" t="str"/>
      <x:c r="N119" s="110" t="str"/>
      <x:c r="O119" s="110" t="str"/>
      <x:c r="P119" s="110" t="str"/>
      <x:c r="Q119" s="110" t="str"/>
      <x:c r="R119" s="110" t="str"/>
      <x:c r="S119" s="110" t="str"/>
      <x:c r="T119" s="110" t="str"/>
      <x:c r="U119" s="110" t="str"/>
      <x:c r="V119" s="110" t="str"/>
    </x:row>
    <x:row r="120" ht="32" customHeight="1">
      <x:c r="A120" s="110" t="str"/>
      <x:c r="B120" s="110" t="str"/>
      <x:c r="C120" s="110" t="str"/>
      <x:c r="D120" s="110" t="str"/>
      <x:c r="E120" s="110" t="str"/>
      <x:c r="F120" s="110" t="str"/>
      <x:c r="G120" s="112" t="str"/>
      <x:c r="H120" s="112" t="str"/>
      <x:c r="I120" s="110" t="str"/>
      <x:c r="J120" s="110" t="str"/>
      <x:c r="K120" s="110" t="str"/>
      <x:c r="L120" s="110" t="str"/>
      <x:c r="M120" s="110" t="str"/>
      <x:c r="N120" s="110" t="str"/>
      <x:c r="O120" s="110" t="str"/>
      <x:c r="P120" s="110" t="str"/>
      <x:c r="Q120" s="110" t="str"/>
      <x:c r="R120" s="110" t="str"/>
      <x:c r="S120" s="110" t="str"/>
      <x:c r="T120" s="110" t="str"/>
      <x:c r="U120" s="110" t="str"/>
      <x:c r="V120" s="110" t="str"/>
    </x:row>
    <x:row r="121" ht="32" customHeight="1">
      <x:c r="A121" s="110" t="str"/>
      <x:c r="B121" s="110" t="str"/>
      <x:c r="C121" s="110" t="str"/>
      <x:c r="D121" s="110" t="str"/>
      <x:c r="E121" s="110" t="str"/>
      <x:c r="F121" s="110" t="str"/>
      <x:c r="G121" s="112" t="str"/>
      <x:c r="H121" s="112" t="str"/>
      <x:c r="I121" s="110" t="str"/>
      <x:c r="J121" s="110" t="str"/>
      <x:c r="K121" s="110" t="str"/>
      <x:c r="L121" s="110" t="str"/>
      <x:c r="M121" s="110" t="str"/>
      <x:c r="N121" s="110" t="str"/>
      <x:c r="O121" s="110" t="str"/>
      <x:c r="P121" s="110" t="str"/>
      <x:c r="Q121" s="110" t="str"/>
      <x:c r="R121" s="110" t="str"/>
      <x:c r="S121" s="110" t="str"/>
      <x:c r="T121" s="110" t="str"/>
      <x:c r="U121" s="110" t="str"/>
      <x:c r="V121" s="110" t="str"/>
    </x:row>
    <x:row r="122" ht="32" customHeight="1">
      <x:c r="A122" s="110" t="str"/>
      <x:c r="B122" s="110" t="str"/>
      <x:c r="C122" s="110" t="str"/>
      <x:c r="D122" s="110" t="str"/>
      <x:c r="E122" s="110" t="str"/>
      <x:c r="F122" s="110" t="str"/>
      <x:c r="G122" s="112" t="str"/>
      <x:c r="H122" s="112" t="str"/>
      <x:c r="I122" s="110" t="str"/>
      <x:c r="J122" s="110" t="str"/>
      <x:c r="K122" s="110" t="str"/>
      <x:c r="L122" s="110" t="str"/>
      <x:c r="M122" s="110" t="str"/>
      <x:c r="N122" s="110" t="str"/>
      <x:c r="O122" s="110" t="str"/>
      <x:c r="P122" s="110" t="str"/>
      <x:c r="Q122" s="110" t="str"/>
      <x:c r="R122" s="110" t="str"/>
      <x:c r="S122" s="110" t="str"/>
      <x:c r="T122" s="110" t="str"/>
      <x:c r="U122" s="110" t="str"/>
      <x:c r="V122" s="110" t="str"/>
    </x:row>
    <x:row r="123" ht="32" customHeight="1">
      <x:c r="A123" s="110" t="str"/>
      <x:c r="B123" s="110" t="str"/>
      <x:c r="C123" s="110" t="str"/>
      <x:c r="D123" s="110" t="str"/>
      <x:c r="E123" s="110" t="str"/>
      <x:c r="F123" s="110" t="str"/>
      <x:c r="G123" s="112" t="str"/>
      <x:c r="H123" s="112" t="str"/>
      <x:c r="I123" s="110" t="str"/>
      <x:c r="J123" s="110" t="str"/>
      <x:c r="K123" s="110" t="str"/>
      <x:c r="L123" s="110" t="str"/>
      <x:c r="M123" s="110" t="str"/>
      <x:c r="N123" s="110" t="str"/>
      <x:c r="O123" s="110" t="str"/>
      <x:c r="P123" s="110" t="str"/>
      <x:c r="Q123" s="110" t="str"/>
      <x:c r="R123" s="110" t="str"/>
      <x:c r="S123" s="110" t="str"/>
      <x:c r="T123" s="110" t="str"/>
      <x:c r="U123" s="110" t="str"/>
      <x:c r="V123" s="110" t="str"/>
    </x:row>
    <x:row r="124" ht="32" customHeight="1">
      <x:c r="A124" s="110" t="str"/>
      <x:c r="B124" s="110" t="str"/>
      <x:c r="C124" s="110" t="str"/>
      <x:c r="D124" s="110" t="str"/>
      <x:c r="E124" s="110" t="str"/>
      <x:c r="F124" s="110" t="str"/>
      <x:c r="G124" s="112" t="str"/>
      <x:c r="H124" s="112" t="str"/>
      <x:c r="I124" s="110" t="str"/>
      <x:c r="J124" s="110" t="str"/>
      <x:c r="K124" s="110" t="str"/>
      <x:c r="L124" s="110" t="str"/>
      <x:c r="M124" s="110" t="str"/>
      <x:c r="N124" s="110" t="str"/>
      <x:c r="O124" s="110" t="str"/>
      <x:c r="P124" s="110" t="str"/>
      <x:c r="Q124" s="110" t="str"/>
      <x:c r="R124" s="110" t="str"/>
      <x:c r="S124" s="110" t="str"/>
      <x:c r="T124" s="110" t="str"/>
      <x:c r="U124" s="110" t="str"/>
      <x:c r="V124" s="110" t="str"/>
    </x:row>
    <x:row r="125" ht="32" customHeight="1">
      <x:c r="A125" s="110" t="str"/>
      <x:c r="B125" s="110" t="str"/>
      <x:c r="C125" s="110" t="str"/>
      <x:c r="D125" s="110" t="str"/>
      <x:c r="E125" s="110" t="str"/>
      <x:c r="F125" s="110" t="str"/>
      <x:c r="G125" s="112" t="str"/>
      <x:c r="H125" s="112" t="str"/>
      <x:c r="I125" s="110" t="str"/>
      <x:c r="J125" s="110" t="str"/>
      <x:c r="K125" s="110" t="str"/>
      <x:c r="L125" s="110" t="str"/>
      <x:c r="M125" s="110" t="str"/>
      <x:c r="N125" s="110" t="str"/>
      <x:c r="O125" s="110" t="str"/>
      <x:c r="P125" s="110" t="str"/>
      <x:c r="Q125" s="110" t="str"/>
      <x:c r="R125" s="110" t="str"/>
      <x:c r="S125" s="110" t="str"/>
      <x:c r="T125" s="110" t="str"/>
      <x:c r="U125" s="110" t="str"/>
      <x:c r="V125" s="110" t="str"/>
    </x:row>
    <x:row r="126" ht="32" customHeight="1">
      <x:c r="A126" s="110" t="str"/>
      <x:c r="B126" s="110" t="str"/>
      <x:c r="C126" s="110" t="str"/>
      <x:c r="D126" s="110" t="str"/>
      <x:c r="E126" s="110" t="str"/>
      <x:c r="F126" s="110" t="str"/>
      <x:c r="G126" s="112" t="str"/>
      <x:c r="H126" s="112" t="str"/>
      <x:c r="I126" s="110" t="str"/>
      <x:c r="J126" s="110" t="str"/>
      <x:c r="K126" s="110" t="str"/>
      <x:c r="L126" s="110" t="str"/>
      <x:c r="M126" s="110" t="str"/>
      <x:c r="N126" s="110" t="str"/>
      <x:c r="O126" s="110" t="str"/>
      <x:c r="P126" s="110" t="str"/>
      <x:c r="Q126" s="110" t="str"/>
      <x:c r="R126" s="110" t="str"/>
      <x:c r="S126" s="110" t="str"/>
      <x:c r="T126" s="110" t="str"/>
      <x:c r="U126" s="110" t="str"/>
      <x:c r="V126" s="110" t="str"/>
    </x:row>
    <x:row r="127" ht="32" customHeight="1">
      <x:c r="A127" s="110" t="str"/>
      <x:c r="B127" s="110" t="str"/>
      <x:c r="C127" s="110" t="str"/>
      <x:c r="D127" s="110" t="str"/>
      <x:c r="E127" s="110" t="str"/>
      <x:c r="F127" s="110" t="str"/>
      <x:c r="G127" s="112" t="str"/>
      <x:c r="H127" s="112" t="str"/>
      <x:c r="I127" s="110" t="str"/>
      <x:c r="J127" s="110" t="str"/>
      <x:c r="K127" s="110" t="str"/>
      <x:c r="L127" s="110" t="str"/>
      <x:c r="M127" s="110" t="str"/>
      <x:c r="N127" s="110" t="str"/>
      <x:c r="O127" s="110" t="str"/>
      <x:c r="P127" s="110" t="str"/>
      <x:c r="Q127" s="110" t="str"/>
      <x:c r="R127" s="110" t="str"/>
      <x:c r="S127" s="110" t="str"/>
      <x:c r="T127" s="110" t="str"/>
      <x:c r="U127" s="110" t="str"/>
      <x:c r="V127" s="110" t="str"/>
    </x:row>
    <x:row r="128" ht="32" customHeight="1">
      <x:c r="A128" s="110" t="str"/>
      <x:c r="B128" s="110" t="str"/>
      <x:c r="C128" s="110" t="str"/>
      <x:c r="D128" s="110" t="str"/>
      <x:c r="E128" s="110" t="str"/>
      <x:c r="F128" s="110" t="str"/>
      <x:c r="G128" s="112" t="str"/>
      <x:c r="H128" s="112" t="str"/>
      <x:c r="I128" s="110" t="str"/>
      <x:c r="J128" s="110" t="str"/>
      <x:c r="K128" s="110" t="str"/>
      <x:c r="L128" s="110" t="str"/>
      <x:c r="M128" s="110" t="str"/>
      <x:c r="N128" s="110" t="str"/>
      <x:c r="O128" s="110" t="str"/>
      <x:c r="P128" s="110" t="str"/>
      <x:c r="Q128" s="110" t="str"/>
      <x:c r="R128" s="110" t="str"/>
      <x:c r="S128" s="110" t="str"/>
      <x:c r="T128" s="110" t="str"/>
      <x:c r="U128" s="110" t="str"/>
      <x:c r="V128" s="110" t="str"/>
    </x:row>
    <x:row r="129" ht="32" customHeight="1">
      <x:c r="A129" s="110" t="str"/>
      <x:c r="B129" s="110" t="str"/>
      <x:c r="C129" s="110" t="str"/>
      <x:c r="D129" s="110" t="str"/>
      <x:c r="E129" s="110" t="str"/>
      <x:c r="F129" s="110" t="str"/>
      <x:c r="G129" s="112" t="str"/>
      <x:c r="H129" s="112" t="str"/>
      <x:c r="I129" s="110" t="str"/>
      <x:c r="J129" s="110" t="str"/>
      <x:c r="K129" s="110" t="str"/>
      <x:c r="L129" s="110" t="str"/>
      <x:c r="M129" s="110" t="str"/>
      <x:c r="N129" s="110" t="str"/>
      <x:c r="O129" s="110" t="str"/>
      <x:c r="P129" s="110" t="str"/>
      <x:c r="Q129" s="110" t="str"/>
      <x:c r="R129" s="110" t="str"/>
      <x:c r="S129" s="110" t="str"/>
      <x:c r="T129" s="110" t="str"/>
      <x:c r="U129" s="110" t="str"/>
      <x:c r="V129" s="110" t="str"/>
    </x:row>
    <x:row r="130" ht="32" customHeight="1">
      <x:c r="A130" s="110" t="str"/>
      <x:c r="B130" s="110" t="str"/>
      <x:c r="C130" s="110" t="str"/>
      <x:c r="D130" s="110" t="str"/>
      <x:c r="E130" s="110" t="str"/>
      <x:c r="F130" s="110" t="str"/>
      <x:c r="G130" s="112" t="str"/>
      <x:c r="H130" s="112" t="str"/>
      <x:c r="I130" s="110" t="str"/>
      <x:c r="J130" s="110" t="str"/>
      <x:c r="K130" s="110" t="str"/>
      <x:c r="L130" s="110" t="str"/>
      <x:c r="M130" s="110" t="str"/>
      <x:c r="N130" s="110" t="str"/>
      <x:c r="O130" s="110" t="str"/>
      <x:c r="P130" s="110" t="str"/>
      <x:c r="Q130" s="110" t="str"/>
      <x:c r="R130" s="110" t="str"/>
      <x:c r="S130" s="110" t="str"/>
      <x:c r="T130" s="110" t="str"/>
      <x:c r="U130" s="110" t="str"/>
      <x:c r="V130" s="110" t="str"/>
    </x:row>
    <x:row r="131" ht="32" customHeight="1">
      <x:c r="A131" s="110" t="str"/>
      <x:c r="B131" s="110" t="str"/>
      <x:c r="C131" s="110" t="str"/>
      <x:c r="D131" s="110" t="str"/>
      <x:c r="E131" s="110" t="str"/>
      <x:c r="F131" s="110" t="str"/>
      <x:c r="G131" s="112" t="str"/>
      <x:c r="H131" s="112" t="str"/>
      <x:c r="I131" s="110" t="str"/>
      <x:c r="J131" s="110" t="str"/>
      <x:c r="K131" s="110" t="str"/>
      <x:c r="L131" s="110" t="str"/>
      <x:c r="M131" s="110" t="str"/>
      <x:c r="N131" s="110" t="str"/>
      <x:c r="O131" s="110" t="str"/>
      <x:c r="P131" s="110" t="str"/>
      <x:c r="Q131" s="110" t="str"/>
      <x:c r="R131" s="110" t="str"/>
      <x:c r="S131" s="110" t="str"/>
      <x:c r="T131" s="110" t="str"/>
      <x:c r="U131" s="110" t="str"/>
      <x:c r="V131" s="110" t="str"/>
    </x:row>
    <x:row r="132" ht="32" customHeight="1">
      <x:c r="A132" s="110" t="str"/>
      <x:c r="B132" s="110" t="str"/>
      <x:c r="C132" s="110" t="str"/>
      <x:c r="D132" s="110" t="str"/>
      <x:c r="E132" s="110" t="str"/>
      <x:c r="F132" s="110" t="str"/>
      <x:c r="G132" s="112" t="str"/>
      <x:c r="H132" s="112" t="str"/>
      <x:c r="I132" s="110" t="str"/>
      <x:c r="J132" s="110" t="str"/>
      <x:c r="K132" s="110" t="str"/>
      <x:c r="L132" s="110" t="str"/>
      <x:c r="M132" s="110" t="str"/>
      <x:c r="N132" s="110" t="str"/>
      <x:c r="O132" s="110" t="str"/>
      <x:c r="P132" s="110" t="str"/>
      <x:c r="Q132" s="110" t="str"/>
      <x:c r="R132" s="110" t="str"/>
      <x:c r="S132" s="110" t="str"/>
      <x:c r="T132" s="110" t="str"/>
      <x:c r="U132" s="110" t="str"/>
      <x:c r="V132" s="110" t="str"/>
    </x:row>
    <x:row r="133" ht="32" customHeight="1">
      <x:c r="A133" s="110" t="str"/>
      <x:c r="B133" s="110" t="str"/>
      <x:c r="C133" s="110" t="str"/>
      <x:c r="D133" s="110" t="str"/>
      <x:c r="E133" s="110" t="str"/>
      <x:c r="F133" s="110" t="str"/>
      <x:c r="G133" s="112" t="str"/>
      <x:c r="H133" s="112" t="str"/>
      <x:c r="I133" s="110" t="str"/>
      <x:c r="J133" s="110" t="str"/>
      <x:c r="K133" s="110" t="str"/>
      <x:c r="L133" s="110" t="str"/>
      <x:c r="M133" s="110" t="str"/>
      <x:c r="N133" s="110" t="str"/>
      <x:c r="O133" s="110" t="str"/>
      <x:c r="P133" s="110" t="str"/>
      <x:c r="Q133" s="110" t="str"/>
      <x:c r="R133" s="110" t="str"/>
      <x:c r="S133" s="110" t="str"/>
      <x:c r="T133" s="110" t="str"/>
      <x:c r="U133" s="110" t="str"/>
      <x:c r="V133" s="110" t="str"/>
    </x:row>
    <x:row r="134" ht="32" customHeight="1">
      <x:c r="A134" s="110" t="str"/>
      <x:c r="B134" s="110" t="str"/>
      <x:c r="C134" s="110" t="str"/>
      <x:c r="D134" s="110" t="str"/>
      <x:c r="E134" s="110" t="str"/>
      <x:c r="F134" s="110" t="str"/>
      <x:c r="G134" s="112" t="str"/>
      <x:c r="H134" s="112" t="str"/>
      <x:c r="I134" s="110" t="str"/>
      <x:c r="J134" s="110" t="str"/>
      <x:c r="K134" s="110" t="str"/>
      <x:c r="L134" s="110" t="str"/>
      <x:c r="M134" s="110" t="str"/>
      <x:c r="N134" s="110" t="str"/>
      <x:c r="O134" s="110" t="str"/>
      <x:c r="P134" s="110" t="str"/>
      <x:c r="Q134" s="110" t="str"/>
      <x:c r="R134" s="110" t="str"/>
      <x:c r="S134" s="110" t="str"/>
      <x:c r="T134" s="110" t="str"/>
      <x:c r="U134" s="110" t="str"/>
      <x:c r="V134" s="110" t="str"/>
    </x:row>
    <x:row r="135" ht="32" customHeight="1">
      <x:c r="A135" s="110" t="str"/>
      <x:c r="B135" s="110" t="str"/>
      <x:c r="C135" s="110" t="str"/>
      <x:c r="D135" s="110" t="str"/>
      <x:c r="E135" s="110" t="str"/>
      <x:c r="F135" s="110" t="str"/>
      <x:c r="G135" s="112" t="str"/>
      <x:c r="H135" s="112" t="str"/>
      <x:c r="I135" s="110" t="str"/>
      <x:c r="J135" s="110" t="str"/>
      <x:c r="K135" s="110" t="str"/>
      <x:c r="L135" s="110" t="str"/>
      <x:c r="M135" s="110" t="str"/>
      <x:c r="N135" s="110" t="str"/>
      <x:c r="O135" s="110" t="str"/>
      <x:c r="P135" s="110" t="str"/>
      <x:c r="Q135" s="110" t="str"/>
      <x:c r="R135" s="110" t="str"/>
      <x:c r="S135" s="110" t="str"/>
      <x:c r="T135" s="110" t="str"/>
      <x:c r="U135" s="110" t="str"/>
      <x:c r="V135" s="110" t="str"/>
    </x:row>
    <x:row r="136" ht="32" customHeight="1">
      <x:c r="A136" s="110" t="str"/>
      <x:c r="B136" s="110" t="str"/>
      <x:c r="C136" s="110" t="str"/>
      <x:c r="D136" s="110" t="str"/>
      <x:c r="E136" s="110" t="str"/>
      <x:c r="F136" s="110" t="str"/>
      <x:c r="G136" s="112" t="str"/>
      <x:c r="H136" s="112" t="str"/>
      <x:c r="I136" s="110" t="str"/>
      <x:c r="J136" s="110" t="str"/>
      <x:c r="K136" s="110" t="str"/>
      <x:c r="L136" s="110" t="str"/>
      <x:c r="M136" s="110" t="str"/>
      <x:c r="N136" s="110" t="str"/>
      <x:c r="O136" s="110" t="str"/>
      <x:c r="P136" s="110" t="str"/>
      <x:c r="Q136" s="110" t="str"/>
      <x:c r="R136" s="110" t="str"/>
      <x:c r="S136" s="110" t="str"/>
      <x:c r="T136" s="110" t="str"/>
      <x:c r="U136" s="110" t="str"/>
      <x:c r="V136" s="110" t="str"/>
    </x:row>
    <x:row r="137" ht="32" customHeight="1">
      <x:c r="A137" s="110" t="str"/>
      <x:c r="B137" s="110" t="str"/>
      <x:c r="C137" s="110" t="str"/>
      <x:c r="D137" s="110" t="str"/>
      <x:c r="E137" s="110" t="str"/>
      <x:c r="F137" s="110" t="str"/>
      <x:c r="G137" s="112" t="str"/>
      <x:c r="H137" s="112" t="str"/>
      <x:c r="I137" s="110" t="str"/>
      <x:c r="J137" s="110" t="str"/>
      <x:c r="K137" s="110" t="str"/>
      <x:c r="L137" s="110" t="str"/>
      <x:c r="M137" s="110" t="str"/>
      <x:c r="N137" s="110" t="str"/>
      <x:c r="O137" s="110" t="str"/>
      <x:c r="P137" s="110" t="str"/>
      <x:c r="Q137" s="110" t="str"/>
      <x:c r="R137" s="110" t="str"/>
      <x:c r="S137" s="110" t="str"/>
      <x:c r="T137" s="110" t="str"/>
      <x:c r="U137" s="110" t="str"/>
      <x:c r="V137" s="110" t="str"/>
    </x:row>
    <x:row r="138" ht="32" customHeight="1">
      <x:c r="A138" s="110" t="str"/>
      <x:c r="B138" s="110" t="str"/>
      <x:c r="C138" s="110" t="str"/>
      <x:c r="D138" s="110" t="str"/>
      <x:c r="E138" s="110" t="str"/>
      <x:c r="F138" s="110" t="str"/>
      <x:c r="G138" s="112" t="str"/>
      <x:c r="H138" s="112" t="str"/>
      <x:c r="I138" s="110" t="str"/>
      <x:c r="J138" s="110" t="str"/>
      <x:c r="K138" s="110" t="str"/>
      <x:c r="L138" s="110" t="str"/>
      <x:c r="M138" s="110" t="str"/>
      <x:c r="N138" s="110" t="str"/>
      <x:c r="O138" s="110" t="str"/>
      <x:c r="P138" s="110" t="str"/>
      <x:c r="Q138" s="110" t="str"/>
      <x:c r="R138" s="110" t="str"/>
      <x:c r="S138" s="110" t="str"/>
      <x:c r="T138" s="110" t="str"/>
      <x:c r="U138" s="110" t="str"/>
      <x:c r="V138" s="110" t="str"/>
    </x:row>
    <x:row r="139" ht="32" customHeight="1">
      <x:c r="A139" s="110" t="str"/>
      <x:c r="B139" s="110" t="str"/>
      <x:c r="C139" s="110" t="str"/>
      <x:c r="D139" s="110" t="str"/>
      <x:c r="E139" s="110" t="str"/>
      <x:c r="F139" s="110" t="str"/>
      <x:c r="G139" s="112" t="str"/>
      <x:c r="H139" s="112" t="str"/>
      <x:c r="I139" s="110" t="str"/>
      <x:c r="J139" s="110" t="str"/>
      <x:c r="K139" s="110" t="str"/>
      <x:c r="L139" s="110" t="str"/>
      <x:c r="M139" s="110" t="str"/>
      <x:c r="N139" s="110" t="str"/>
      <x:c r="O139" s="110" t="str"/>
      <x:c r="P139" s="110" t="str"/>
      <x:c r="Q139" s="110" t="str"/>
      <x:c r="R139" s="110" t="str"/>
      <x:c r="S139" s="110" t="str"/>
      <x:c r="T139" s="110" t="str"/>
      <x:c r="U139" s="110" t="str"/>
      <x:c r="V139" s="110" t="str"/>
    </x:row>
    <x:row r="140" ht="32" customHeight="1">
      <x:c r="A140" s="110" t="str"/>
      <x:c r="B140" s="110" t="str"/>
      <x:c r="C140" s="110" t="str"/>
      <x:c r="D140" s="110" t="str"/>
      <x:c r="E140" s="110" t="str"/>
      <x:c r="F140" s="110" t="str"/>
      <x:c r="G140" s="112" t="str"/>
      <x:c r="H140" s="112" t="str"/>
      <x:c r="I140" s="110" t="str"/>
      <x:c r="J140" s="110" t="str"/>
      <x:c r="K140" s="110" t="str"/>
      <x:c r="L140" s="110" t="str"/>
      <x:c r="M140" s="110" t="str"/>
      <x:c r="N140" s="110" t="str"/>
      <x:c r="O140" s="110" t="str"/>
      <x:c r="P140" s="110" t="str"/>
      <x:c r="Q140" s="110" t="str"/>
      <x:c r="R140" s="110" t="str"/>
      <x:c r="S140" s="110" t="str"/>
      <x:c r="T140" s="110" t="str"/>
      <x:c r="U140" s="110" t="str"/>
      <x:c r="V140" s="110" t="str"/>
    </x:row>
    <x:row r="141" ht="32" customHeight="1">
      <x:c r="A141" s="110" t="str"/>
      <x:c r="B141" s="110" t="str"/>
      <x:c r="C141" s="110" t="str"/>
      <x:c r="D141" s="110" t="str"/>
      <x:c r="E141" s="110" t="str"/>
      <x:c r="F141" s="110" t="str"/>
      <x:c r="G141" s="112" t="str"/>
      <x:c r="H141" s="112" t="str"/>
      <x:c r="I141" s="110" t="str"/>
      <x:c r="J141" s="110" t="str"/>
      <x:c r="K141" s="110" t="str"/>
      <x:c r="L141" s="110" t="str"/>
      <x:c r="M141" s="110" t="str"/>
      <x:c r="N141" s="110" t="str"/>
      <x:c r="O141" s="110" t="str"/>
      <x:c r="P141" s="110" t="str"/>
      <x:c r="Q141" s="110" t="str"/>
      <x:c r="R141" s="110" t="str"/>
      <x:c r="S141" s="110" t="str"/>
      <x:c r="T141" s="110" t="str"/>
      <x:c r="U141" s="110" t="str"/>
      <x:c r="V141" s="110" t="str"/>
    </x:row>
    <x:row r="142" ht="32" customHeight="1">
      <x:c r="A142" s="110" t="str"/>
      <x:c r="B142" s="110" t="str"/>
      <x:c r="C142" s="110" t="str"/>
      <x:c r="D142" s="110" t="str"/>
      <x:c r="E142" s="110" t="str"/>
      <x:c r="F142" s="110" t="str"/>
      <x:c r="G142" s="112" t="str"/>
      <x:c r="H142" s="112" t="str"/>
      <x:c r="I142" s="110" t="str"/>
      <x:c r="J142" s="110" t="str"/>
      <x:c r="K142" s="110" t="str"/>
      <x:c r="L142" s="110" t="str"/>
      <x:c r="M142" s="110" t="str"/>
      <x:c r="N142" s="110" t="str"/>
      <x:c r="O142" s="110" t="str"/>
      <x:c r="P142" s="110" t="str"/>
      <x:c r="Q142" s="110" t="str"/>
      <x:c r="R142" s="110" t="str"/>
      <x:c r="S142" s="110" t="str"/>
      <x:c r="T142" s="110" t="str"/>
      <x:c r="U142" s="110" t="str"/>
      <x:c r="V142" s="110" t="str"/>
    </x:row>
    <x:row r="143" ht="32" customHeight="1">
      <x:c r="A143" s="110" t="str"/>
      <x:c r="B143" s="110" t="str"/>
      <x:c r="C143" s="110" t="str"/>
      <x:c r="D143" s="110" t="str"/>
      <x:c r="E143" s="110" t="str"/>
      <x:c r="F143" s="110" t="str"/>
      <x:c r="G143" s="112" t="str"/>
      <x:c r="H143" s="112" t="str"/>
      <x:c r="I143" s="110" t="str"/>
      <x:c r="J143" s="110" t="str"/>
      <x:c r="K143" s="110" t="str"/>
      <x:c r="L143" s="110" t="str"/>
      <x:c r="M143" s="110" t="str"/>
      <x:c r="N143" s="110" t="str"/>
      <x:c r="O143" s="110" t="str"/>
      <x:c r="P143" s="110" t="str"/>
      <x:c r="Q143" s="110" t="str"/>
      <x:c r="R143" s="110" t="str"/>
      <x:c r="S143" s="110" t="str"/>
      <x:c r="T143" s="110" t="str"/>
      <x:c r="U143" s="110" t="str"/>
      <x:c r="V143" s="110" t="str"/>
    </x:row>
    <x:row r="144" ht="32" customHeight="1">
      <x:c r="A144" s="110" t="str"/>
      <x:c r="B144" s="110" t="str"/>
      <x:c r="C144" s="110" t="str"/>
      <x:c r="D144" s="110" t="str"/>
      <x:c r="E144" s="110" t="str"/>
      <x:c r="F144" s="110" t="str"/>
      <x:c r="G144" s="112" t="str"/>
      <x:c r="H144" s="112" t="str"/>
      <x:c r="I144" s="110" t="str"/>
      <x:c r="J144" s="110" t="str"/>
      <x:c r="K144" s="110" t="str"/>
      <x:c r="L144" s="110" t="str"/>
      <x:c r="M144" s="110" t="str"/>
      <x:c r="N144" s="110" t="str"/>
      <x:c r="O144" s="110" t="str"/>
      <x:c r="P144" s="110" t="str"/>
      <x:c r="Q144" s="110" t="str"/>
      <x:c r="R144" s="110" t="str"/>
      <x:c r="S144" s="110" t="str"/>
      <x:c r="T144" s="110" t="str"/>
      <x:c r="U144" s="110" t="str"/>
      <x:c r="V144" s="110" t="str"/>
    </x:row>
    <x:row r="145" ht="32" customHeight="1">
      <x:c r="A145" s="110" t="str"/>
      <x:c r="B145" s="110" t="str"/>
      <x:c r="C145" s="110" t="str"/>
      <x:c r="D145" s="110" t="str"/>
      <x:c r="E145" s="110" t="str"/>
      <x:c r="F145" s="110" t="str"/>
      <x:c r="G145" s="112" t="str"/>
      <x:c r="H145" s="112" t="str"/>
      <x:c r="I145" s="110" t="str"/>
      <x:c r="J145" s="110" t="str"/>
      <x:c r="K145" s="110" t="str"/>
      <x:c r="L145" s="110" t="str"/>
      <x:c r="M145" s="110" t="str"/>
      <x:c r="N145" s="110" t="str"/>
      <x:c r="O145" s="110" t="str"/>
      <x:c r="P145" s="110" t="str"/>
      <x:c r="Q145" s="110" t="str"/>
      <x:c r="R145" s="110" t="str"/>
      <x:c r="S145" s="110" t="str"/>
      <x:c r="T145" s="110" t="str"/>
      <x:c r="U145" s="110" t="str"/>
      <x:c r="V145" s="110" t="str"/>
    </x:row>
    <x:row r="146" ht="32" customHeight="1">
      <x:c r="A146" s="110" t="str"/>
      <x:c r="B146" s="110" t="str"/>
      <x:c r="C146" s="110" t="str"/>
      <x:c r="D146" s="110" t="str"/>
      <x:c r="E146" s="110" t="str"/>
      <x:c r="F146" s="110" t="str"/>
      <x:c r="G146" s="112" t="str"/>
      <x:c r="H146" s="112" t="str"/>
      <x:c r="I146" s="110" t="str"/>
      <x:c r="J146" s="110" t="str"/>
      <x:c r="K146" s="110" t="str"/>
      <x:c r="L146" s="110" t="str"/>
      <x:c r="M146" s="110" t="str"/>
      <x:c r="N146" s="110" t="str"/>
      <x:c r="O146" s="110" t="str"/>
      <x:c r="P146" s="110" t="str"/>
      <x:c r="Q146" s="110" t="str"/>
      <x:c r="R146" s="110" t="str"/>
      <x:c r="S146" s="110" t="str"/>
      <x:c r="T146" s="110" t="str"/>
      <x:c r="U146" s="110" t="str"/>
      <x:c r="V146" s="110" t="str"/>
    </x:row>
    <x:row r="147" ht="32" customHeight="1">
      <x:c r="A147" s="110" t="str"/>
      <x:c r="B147" s="110" t="str"/>
      <x:c r="C147" s="110" t="str"/>
      <x:c r="D147" s="110" t="str"/>
      <x:c r="E147" s="110" t="str"/>
      <x:c r="F147" s="110" t="str"/>
      <x:c r="G147" s="112" t="str"/>
      <x:c r="H147" s="112" t="str"/>
      <x:c r="I147" s="110" t="str"/>
      <x:c r="J147" s="110" t="str"/>
      <x:c r="K147" s="110" t="str"/>
      <x:c r="L147" s="110" t="str"/>
      <x:c r="M147" s="110" t="str"/>
      <x:c r="N147" s="110" t="str"/>
      <x:c r="O147" s="110" t="str"/>
      <x:c r="P147" s="110" t="str"/>
      <x:c r="Q147" s="110" t="str"/>
      <x:c r="R147" s="110" t="str"/>
      <x:c r="S147" s="110" t="str"/>
      <x:c r="T147" s="110" t="str"/>
      <x:c r="U147" s="110" t="str"/>
      <x:c r="V147" s="110" t="str"/>
    </x:row>
    <x:row r="148" ht="32" customHeight="1">
      <x:c r="A148" s="110" t="str"/>
      <x:c r="B148" s="110" t="str"/>
      <x:c r="C148" s="110" t="str"/>
      <x:c r="D148" s="110" t="str"/>
      <x:c r="E148" s="110" t="str"/>
      <x:c r="F148" s="110" t="str"/>
      <x:c r="G148" s="112" t="str"/>
      <x:c r="H148" s="112" t="str"/>
      <x:c r="I148" s="110" t="str"/>
      <x:c r="J148" s="110" t="str"/>
      <x:c r="K148" s="110" t="str"/>
      <x:c r="L148" s="110" t="str"/>
      <x:c r="M148" s="110" t="str"/>
      <x:c r="N148" s="110" t="str"/>
      <x:c r="O148" s="110" t="str"/>
      <x:c r="P148" s="110" t="str"/>
      <x:c r="Q148" s="110" t="str"/>
      <x:c r="R148" s="110" t="str"/>
      <x:c r="S148" s="110" t="str"/>
      <x:c r="T148" s="110" t="str"/>
      <x:c r="U148" s="110" t="str"/>
      <x:c r="V148" s="110" t="str"/>
    </x:row>
    <x:row r="149" ht="32" customHeight="1">
      <x:c r="A149" s="110" t="str"/>
      <x:c r="B149" s="110" t="str"/>
      <x:c r="C149" s="110" t="str"/>
      <x:c r="D149" s="110" t="str"/>
      <x:c r="E149" s="110" t="str"/>
      <x:c r="F149" s="110" t="str"/>
      <x:c r="G149" s="112" t="str"/>
      <x:c r="H149" s="112" t="str"/>
      <x:c r="I149" s="110" t="str"/>
      <x:c r="J149" s="110" t="str"/>
      <x:c r="K149" s="110" t="str"/>
      <x:c r="L149" s="110" t="str"/>
      <x:c r="M149" s="110" t="str"/>
      <x:c r="N149" s="110" t="str"/>
      <x:c r="O149" s="110" t="str"/>
      <x:c r="P149" s="110" t="str"/>
      <x:c r="Q149" s="110" t="str"/>
      <x:c r="R149" s="110" t="str"/>
      <x:c r="S149" s="110" t="str"/>
      <x:c r="T149" s="110" t="str"/>
      <x:c r="U149" s="110" t="str"/>
      <x:c r="V149" s="110" t="str"/>
    </x:row>
    <x:row r="150" ht="32" customHeight="1">
      <x:c r="A150" s="110" t="str"/>
      <x:c r="B150" s="110" t="str"/>
      <x:c r="C150" s="110" t="str"/>
      <x:c r="D150" s="110" t="str"/>
      <x:c r="E150" s="110" t="str"/>
      <x:c r="F150" s="110" t="str"/>
      <x:c r="G150" s="112" t="str"/>
      <x:c r="H150" s="112" t="str"/>
      <x:c r="I150" s="110" t="str"/>
      <x:c r="J150" s="110" t="str"/>
      <x:c r="K150" s="110" t="str"/>
      <x:c r="L150" s="110" t="str"/>
      <x:c r="M150" s="110" t="str"/>
      <x:c r="N150" s="110" t="str"/>
      <x:c r="O150" s="110" t="str"/>
      <x:c r="P150" s="110" t="str"/>
      <x:c r="Q150" s="110" t="str"/>
      <x:c r="R150" s="110" t="str"/>
      <x:c r="S150" s="110" t="str"/>
      <x:c r="T150" s="110" t="str"/>
      <x:c r="U150" s="110" t="str"/>
      <x:c r="V150" s="110" t="str"/>
    </x:row>
    <x:row r="151" ht="32" customHeight="1">
      <x:c r="A151" s="110" t="str"/>
      <x:c r="B151" s="110" t="str"/>
      <x:c r="C151" s="110" t="str"/>
      <x:c r="D151" s="110" t="str"/>
      <x:c r="E151" s="110" t="str"/>
      <x:c r="F151" s="110" t="str"/>
      <x:c r="G151" s="112" t="str"/>
      <x:c r="H151" s="112" t="str"/>
      <x:c r="I151" s="110" t="str"/>
      <x:c r="J151" s="110" t="str"/>
      <x:c r="K151" s="110" t="str"/>
      <x:c r="L151" s="110" t="str"/>
      <x:c r="M151" s="110" t="str"/>
      <x:c r="N151" s="110" t="str"/>
      <x:c r="O151" s="110" t="str"/>
      <x:c r="P151" s="110" t="str"/>
      <x:c r="Q151" s="110" t="str"/>
      <x:c r="R151" s="110" t="str"/>
      <x:c r="S151" s="110" t="str"/>
      <x:c r="T151" s="110" t="str"/>
      <x:c r="U151" s="110" t="str"/>
      <x:c r="V151" s="110" t="str"/>
    </x:row>
    <x:row r="152" ht="32" customHeight="1">
      <x:c r="A152" s="110" t="str"/>
      <x:c r="B152" s="110" t="str"/>
      <x:c r="C152" s="110" t="str"/>
      <x:c r="D152" s="110" t="str"/>
      <x:c r="E152" s="110" t="str"/>
      <x:c r="F152" s="110" t="str"/>
      <x:c r="G152" s="112" t="str"/>
      <x:c r="H152" s="112" t="str"/>
      <x:c r="I152" s="110" t="str"/>
      <x:c r="J152" s="110" t="str"/>
      <x:c r="K152" s="110" t="str"/>
      <x:c r="L152" s="110" t="str"/>
      <x:c r="M152" s="110" t="str"/>
      <x:c r="N152" s="110" t="str"/>
      <x:c r="O152" s="110" t="str"/>
      <x:c r="P152" s="110" t="str"/>
      <x:c r="Q152" s="110" t="str"/>
      <x:c r="R152" s="110" t="str"/>
      <x:c r="S152" s="110" t="str"/>
      <x:c r="T152" s="110" t="str"/>
      <x:c r="U152" s="110" t="str"/>
      <x:c r="V152" s="110" t="str"/>
    </x:row>
    <x:row r="153" ht="32" customHeight="1">
      <x:c r="A153" s="110" t="str"/>
      <x:c r="B153" s="110" t="str"/>
      <x:c r="C153" s="110" t="str"/>
      <x:c r="D153" s="110" t="str"/>
      <x:c r="E153" s="110" t="str"/>
      <x:c r="F153" s="110" t="str"/>
      <x:c r="G153" s="112" t="str"/>
      <x:c r="H153" s="112" t="str"/>
      <x:c r="I153" s="110" t="str"/>
      <x:c r="J153" s="110" t="str"/>
      <x:c r="K153" s="110" t="str"/>
      <x:c r="L153" s="110" t="str"/>
      <x:c r="M153" s="110" t="str"/>
      <x:c r="N153" s="110" t="str"/>
      <x:c r="O153" s="110" t="str"/>
      <x:c r="P153" s="110" t="str"/>
      <x:c r="Q153" s="110" t="str"/>
      <x:c r="R153" s="110" t="str"/>
      <x:c r="S153" s="110" t="str"/>
      <x:c r="T153" s="110" t="str"/>
      <x:c r="U153" s="110" t="str"/>
      <x:c r="V153" s="110" t="str"/>
    </x:row>
    <x:row r="154" ht="32" customHeight="1">
      <x:c r="A154" s="110" t="str"/>
      <x:c r="B154" s="110" t="str"/>
      <x:c r="C154" s="110" t="str"/>
      <x:c r="D154" s="110" t="str"/>
      <x:c r="E154" s="110" t="str"/>
      <x:c r="F154" s="110" t="str"/>
      <x:c r="G154" s="112" t="str"/>
      <x:c r="H154" s="112" t="str"/>
      <x:c r="I154" s="110" t="str"/>
      <x:c r="J154" s="110" t="str"/>
      <x:c r="K154" s="110" t="str"/>
      <x:c r="L154" s="110" t="str"/>
      <x:c r="M154" s="110" t="str"/>
      <x:c r="N154" s="110" t="str"/>
      <x:c r="O154" s="110" t="str"/>
      <x:c r="P154" s="110" t="str"/>
      <x:c r="Q154" s="110" t="str"/>
      <x:c r="R154" s="110" t="str"/>
      <x:c r="S154" s="110" t="str"/>
      <x:c r="T154" s="110" t="str"/>
      <x:c r="U154" s="110" t="str"/>
      <x:c r="V154" s="110" t="str"/>
    </x:row>
    <x:row r="155" ht="32" customHeight="1">
      <x:c r="A155" s="110" t="str"/>
      <x:c r="B155" s="110" t="str"/>
      <x:c r="C155" s="110" t="str"/>
      <x:c r="D155" s="110" t="str"/>
      <x:c r="E155" s="110" t="str"/>
      <x:c r="F155" s="110" t="str"/>
      <x:c r="G155" s="112" t="str"/>
      <x:c r="H155" s="112" t="str"/>
      <x:c r="I155" s="110" t="str"/>
      <x:c r="J155" s="110" t="str"/>
      <x:c r="K155" s="110" t="str"/>
      <x:c r="L155" s="110" t="str"/>
      <x:c r="M155" s="110" t="str"/>
      <x:c r="N155" s="110" t="str"/>
      <x:c r="O155" s="110" t="str"/>
      <x:c r="P155" s="110" t="str"/>
      <x:c r="Q155" s="110" t="str"/>
      <x:c r="R155" s="110" t="str"/>
      <x:c r="S155" s="110" t="str"/>
      <x:c r="T155" s="110" t="str"/>
      <x:c r="U155" s="110" t="str"/>
      <x:c r="V155" s="110" t="str"/>
    </x:row>
    <x:row r="156" ht="32" customHeight="1">
      <x:c r="A156" s="110" t="str"/>
      <x:c r="B156" s="110" t="str"/>
      <x:c r="C156" s="110" t="str"/>
      <x:c r="D156" s="110" t="str"/>
      <x:c r="E156" s="110" t="str"/>
      <x:c r="F156" s="110" t="str"/>
      <x:c r="G156" s="112" t="str"/>
      <x:c r="H156" s="112" t="str"/>
      <x:c r="I156" s="110" t="str"/>
      <x:c r="J156" s="110" t="str"/>
      <x:c r="K156" s="110" t="str"/>
      <x:c r="L156" s="110" t="str"/>
      <x:c r="M156" s="110" t="str"/>
      <x:c r="N156" s="110" t="str"/>
      <x:c r="O156" s="110" t="str"/>
      <x:c r="P156" s="110" t="str"/>
      <x:c r="Q156" s="110" t="str"/>
      <x:c r="R156" s="110" t="str"/>
      <x:c r="S156" s="110" t="str"/>
      <x:c r="T156" s="110" t="str"/>
      <x:c r="U156" s="110" t="str"/>
      <x:c r="V156" s="110" t="str"/>
    </x:row>
    <x:row r="157" ht="32" customHeight="1">
      <x:c r="A157" s="110" t="str"/>
      <x:c r="B157" s="110" t="str"/>
      <x:c r="C157" s="110" t="str"/>
      <x:c r="D157" s="110" t="str"/>
      <x:c r="E157" s="110" t="str"/>
      <x:c r="F157" s="110" t="str"/>
      <x:c r="G157" s="112" t="str"/>
      <x:c r="H157" s="112" t="str"/>
      <x:c r="I157" s="110" t="str"/>
      <x:c r="J157" s="110" t="str"/>
      <x:c r="K157" s="110" t="str"/>
      <x:c r="L157" s="110" t="str"/>
      <x:c r="M157" s="110" t="str"/>
      <x:c r="N157" s="110" t="str"/>
      <x:c r="O157" s="110" t="str"/>
      <x:c r="P157" s="110" t="str"/>
      <x:c r="Q157" s="110" t="str"/>
      <x:c r="R157" s="110" t="str"/>
      <x:c r="S157" s="110" t="str"/>
      <x:c r="T157" s="110" t="str"/>
      <x:c r="U157" s="110" t="str"/>
      <x:c r="V157" s="110" t="str"/>
    </x:row>
    <x:row r="158" ht="32" customHeight="1">
      <x:c r="A158" s="110" t="str"/>
      <x:c r="B158" s="110" t="str"/>
      <x:c r="C158" s="110" t="str"/>
      <x:c r="D158" s="110" t="str"/>
      <x:c r="E158" s="110" t="str"/>
      <x:c r="F158" s="110" t="str"/>
      <x:c r="G158" s="112" t="str"/>
      <x:c r="H158" s="112" t="str"/>
      <x:c r="I158" s="110" t="str"/>
      <x:c r="J158" s="110" t="str"/>
      <x:c r="K158" s="110" t="str"/>
      <x:c r="L158" s="110" t="str"/>
      <x:c r="M158" s="110" t="str"/>
      <x:c r="N158" s="110" t="str"/>
      <x:c r="O158" s="110" t="str"/>
      <x:c r="P158" s="110" t="str"/>
      <x:c r="Q158" s="110" t="str"/>
      <x:c r="R158" s="110" t="str"/>
      <x:c r="S158" s="110" t="str"/>
      <x:c r="T158" s="110" t="str"/>
      <x:c r="U158" s="110" t="str"/>
      <x:c r="V158" s="110" t="str"/>
    </x:row>
    <x:row r="159" ht="32" customHeight="1">
      <x:c r="A159" s="110" t="str"/>
      <x:c r="B159" s="110" t="str"/>
      <x:c r="C159" s="110" t="str"/>
      <x:c r="D159" s="110" t="str"/>
      <x:c r="E159" s="110" t="str"/>
      <x:c r="F159" s="110" t="str"/>
      <x:c r="G159" s="112" t="str"/>
      <x:c r="H159" s="112" t="str"/>
      <x:c r="I159" s="110" t="str"/>
      <x:c r="J159" s="110" t="str"/>
      <x:c r="K159" s="110" t="str"/>
      <x:c r="L159" s="110" t="str"/>
      <x:c r="M159" s="110" t="str"/>
      <x:c r="N159" s="110" t="str"/>
      <x:c r="O159" s="110" t="str"/>
      <x:c r="P159" s="110" t="str"/>
      <x:c r="Q159" s="110" t="str"/>
      <x:c r="R159" s="110" t="str"/>
      <x:c r="S159" s="110" t="str"/>
      <x:c r="T159" s="110" t="str"/>
      <x:c r="U159" s="110" t="str"/>
      <x:c r="V159" s="110" t="str"/>
    </x:row>
    <x:row r="160" ht="32" customHeight="1">
      <x:c r="A160" s="110" t="str"/>
      <x:c r="B160" s="110" t="str"/>
      <x:c r="C160" s="110" t="str"/>
      <x:c r="D160" s="110" t="str"/>
      <x:c r="E160" s="110" t="str"/>
      <x:c r="F160" s="110" t="str"/>
      <x:c r="G160" s="112" t="str"/>
      <x:c r="H160" s="112" t="str"/>
      <x:c r="I160" s="110" t="str"/>
      <x:c r="J160" s="110" t="str"/>
      <x:c r="K160" s="110" t="str"/>
      <x:c r="L160" s="110" t="str"/>
      <x:c r="M160" s="110" t="str"/>
      <x:c r="N160" s="110" t="str"/>
      <x:c r="O160" s="110" t="str"/>
      <x:c r="P160" s="110" t="str"/>
      <x:c r="Q160" s="110" t="str"/>
      <x:c r="R160" s="110" t="str"/>
      <x:c r="S160" s="110" t="str"/>
      <x:c r="T160" s="110" t="str"/>
      <x:c r="U160" s="110" t="str"/>
      <x:c r="V160" s="110" t="str"/>
    </x:row>
    <x:row r="161" ht="32" customHeight="1">
      <x:c r="A161" s="110" t="str"/>
      <x:c r="B161" s="110" t="str"/>
      <x:c r="C161" s="110" t="str"/>
      <x:c r="D161" s="110" t="str"/>
      <x:c r="E161" s="110" t="str"/>
      <x:c r="F161" s="110" t="str"/>
      <x:c r="G161" s="112" t="str"/>
      <x:c r="H161" s="112" t="str"/>
      <x:c r="I161" s="110" t="str"/>
      <x:c r="J161" s="110" t="str"/>
      <x:c r="K161" s="110" t="str"/>
      <x:c r="L161" s="110" t="str"/>
      <x:c r="M161" s="110" t="str"/>
      <x:c r="N161" s="110" t="str"/>
      <x:c r="O161" s="110" t="str"/>
      <x:c r="P161" s="110" t="str"/>
      <x:c r="Q161" s="110" t="str"/>
      <x:c r="R161" s="110" t="str"/>
      <x:c r="S161" s="110" t="str"/>
      <x:c r="T161" s="110" t="str"/>
      <x:c r="U161" s="110" t="str"/>
      <x:c r="V161" s="110" t="str"/>
    </x:row>
    <x:row r="162" ht="32" customHeight="1">
      <x:c r="A162" s="110" t="str"/>
      <x:c r="B162" s="110" t="str"/>
      <x:c r="C162" s="110" t="str"/>
      <x:c r="D162" s="110" t="str"/>
      <x:c r="E162" s="110" t="str"/>
      <x:c r="F162" s="110" t="str"/>
      <x:c r="G162" s="112" t="str"/>
      <x:c r="H162" s="112" t="str"/>
      <x:c r="I162" s="110" t="str"/>
      <x:c r="J162" s="110" t="str"/>
      <x:c r="K162" s="110" t="str"/>
      <x:c r="L162" s="110" t="str"/>
      <x:c r="M162" s="110" t="str"/>
      <x:c r="N162" s="110" t="str"/>
      <x:c r="O162" s="110" t="str"/>
      <x:c r="P162" s="110" t="str"/>
      <x:c r="Q162" s="110" t="str"/>
      <x:c r="R162" s="110" t="str"/>
      <x:c r="S162" s="110" t="str"/>
      <x:c r="T162" s="110" t="str"/>
      <x:c r="U162" s="110" t="str"/>
      <x:c r="V162" s="110" t="str"/>
    </x:row>
    <x:row r="163" ht="32" customHeight="1">
      <x:c r="A163" s="110" t="str"/>
      <x:c r="B163" s="110" t="str"/>
      <x:c r="C163" s="110" t="str"/>
      <x:c r="D163" s="110" t="str"/>
      <x:c r="E163" s="110" t="str"/>
      <x:c r="F163" s="110" t="str"/>
      <x:c r="G163" s="112" t="str"/>
      <x:c r="H163" s="112" t="str"/>
      <x:c r="I163" s="110" t="str"/>
      <x:c r="J163" s="110" t="str"/>
      <x:c r="K163" s="110" t="str"/>
      <x:c r="L163" s="110" t="str"/>
      <x:c r="M163" s="110" t="str"/>
      <x:c r="N163" s="110" t="str"/>
      <x:c r="O163" s="110" t="str"/>
      <x:c r="P163" s="110" t="str"/>
      <x:c r="Q163" s="110" t="str"/>
      <x:c r="R163" s="110" t="str"/>
      <x:c r="S163" s="110" t="str"/>
      <x:c r="T163" s="110" t="str"/>
      <x:c r="U163" s="110" t="str"/>
      <x:c r="V163" s="110" t="str"/>
    </x:row>
    <x:row r="164" ht="32" customHeight="1">
      <x:c r="A164" s="110" t="str"/>
      <x:c r="B164" s="110" t="str"/>
      <x:c r="C164" s="110" t="str"/>
      <x:c r="D164" s="110" t="str"/>
      <x:c r="E164" s="110" t="str"/>
      <x:c r="F164" s="110" t="str"/>
      <x:c r="G164" s="112" t="str"/>
      <x:c r="H164" s="112" t="str"/>
      <x:c r="I164" s="110" t="str"/>
      <x:c r="J164" s="110" t="str"/>
      <x:c r="K164" s="110" t="str"/>
      <x:c r="L164" s="110" t="str"/>
      <x:c r="M164" s="110" t="str"/>
      <x:c r="N164" s="110" t="str"/>
      <x:c r="O164" s="110" t="str"/>
      <x:c r="P164" s="110" t="str"/>
      <x:c r="Q164" s="110" t="str"/>
      <x:c r="R164" s="110" t="str"/>
      <x:c r="S164" s="110" t="str"/>
      <x:c r="T164" s="110" t="str"/>
      <x:c r="U164" s="110" t="str"/>
      <x:c r="V164" s="110" t="str"/>
    </x:row>
    <x:row r="165" ht="32" customHeight="1">
      <x:c r="A165" s="110" t="str"/>
      <x:c r="B165" s="110" t="str"/>
      <x:c r="C165" s="110" t="str"/>
      <x:c r="D165" s="110" t="str"/>
      <x:c r="E165" s="110" t="str"/>
      <x:c r="F165" s="110" t="str"/>
      <x:c r="G165" s="112" t="str"/>
      <x:c r="H165" s="112" t="str"/>
      <x:c r="I165" s="110" t="str"/>
      <x:c r="J165" s="110" t="str"/>
      <x:c r="K165" s="110" t="str"/>
      <x:c r="L165" s="110" t="str"/>
      <x:c r="M165" s="110" t="str"/>
      <x:c r="N165" s="110" t="str"/>
      <x:c r="O165" s="110" t="str"/>
      <x:c r="P165" s="110" t="str"/>
      <x:c r="Q165" s="110" t="str"/>
      <x:c r="R165" s="110" t="str"/>
      <x:c r="S165" s="110" t="str"/>
      <x:c r="T165" s="110" t="str"/>
      <x:c r="U165" s="110" t="str"/>
      <x:c r="V165" s="110" t="str"/>
    </x:row>
    <x:row r="166" ht="32" customHeight="1">
      <x:c r="A166" s="110" t="str"/>
      <x:c r="B166" s="110" t="str"/>
      <x:c r="C166" s="110" t="str"/>
      <x:c r="D166" s="110" t="str"/>
      <x:c r="E166" s="110" t="str"/>
      <x:c r="F166" s="110" t="str"/>
      <x:c r="G166" s="112" t="str"/>
      <x:c r="H166" s="112" t="str"/>
      <x:c r="I166" s="110" t="str"/>
      <x:c r="J166" s="110" t="str"/>
      <x:c r="K166" s="110" t="str"/>
      <x:c r="L166" s="110" t="str"/>
      <x:c r="M166" s="110" t="str"/>
      <x:c r="N166" s="110" t="str"/>
      <x:c r="O166" s="110" t="str"/>
      <x:c r="P166" s="110" t="str"/>
      <x:c r="Q166" s="110" t="str"/>
      <x:c r="R166" s="110" t="str"/>
      <x:c r="S166" s="110" t="str"/>
      <x:c r="T166" s="110" t="str"/>
      <x:c r="U166" s="110" t="str"/>
      <x:c r="V166" s="110" t="str"/>
    </x:row>
    <x:row r="167" ht="32" customHeight="1">
      <x:c r="A167" s="110" t="str"/>
      <x:c r="B167" s="110" t="str"/>
      <x:c r="C167" s="110" t="str"/>
      <x:c r="D167" s="110" t="str"/>
      <x:c r="E167" s="110" t="str"/>
      <x:c r="F167" s="110" t="str"/>
      <x:c r="G167" s="112" t="str"/>
      <x:c r="H167" s="112" t="str"/>
      <x:c r="I167" s="110" t="str"/>
      <x:c r="J167" s="110" t="str"/>
      <x:c r="K167" s="110" t="str"/>
      <x:c r="L167" s="110" t="str"/>
      <x:c r="M167" s="110" t="str"/>
      <x:c r="N167" s="110" t="str"/>
      <x:c r="O167" s="110" t="str"/>
      <x:c r="P167" s="110" t="str"/>
      <x:c r="Q167" s="110" t="str"/>
      <x:c r="R167" s="110" t="str"/>
      <x:c r="S167" s="110" t="str"/>
      <x:c r="T167" s="110" t="str"/>
      <x:c r="U167" s="110" t="str"/>
      <x:c r="V167" s="110" t="str"/>
    </x:row>
    <x:row r="168" ht="32" customHeight="1">
      <x:c r="A168" s="110" t="str"/>
      <x:c r="B168" s="110" t="str"/>
      <x:c r="C168" s="110" t="str"/>
      <x:c r="D168" s="110" t="str"/>
      <x:c r="E168" s="110" t="str"/>
      <x:c r="F168" s="110" t="str"/>
      <x:c r="G168" s="112" t="str"/>
      <x:c r="H168" s="112" t="str"/>
      <x:c r="I168" s="110" t="str"/>
      <x:c r="J168" s="110" t="str"/>
      <x:c r="K168" s="110" t="str"/>
      <x:c r="L168" s="110" t="str"/>
      <x:c r="M168" s="110" t="str"/>
      <x:c r="N168" s="110" t="str"/>
      <x:c r="O168" s="110" t="str"/>
      <x:c r="P168" s="110" t="str"/>
      <x:c r="Q168" s="110" t="str"/>
      <x:c r="R168" s="110" t="str"/>
      <x:c r="S168" s="110" t="str"/>
      <x:c r="T168" s="110" t="str"/>
      <x:c r="U168" s="110" t="str"/>
      <x:c r="V168" s="110" t="str"/>
    </x:row>
    <x:row r="169" ht="32" customHeight="1">
      <x:c r="A169" s="110" t="str"/>
      <x:c r="B169" s="110" t="str"/>
      <x:c r="C169" s="110" t="str"/>
      <x:c r="D169" s="110" t="str"/>
      <x:c r="E169" s="110" t="str"/>
      <x:c r="F169" s="110" t="str"/>
      <x:c r="G169" s="112" t="str"/>
      <x:c r="H169" s="112" t="str"/>
      <x:c r="I169" s="110" t="str"/>
      <x:c r="J169" s="110" t="str"/>
      <x:c r="K169" s="110" t="str"/>
      <x:c r="L169" s="110" t="str"/>
      <x:c r="M169" s="110" t="str"/>
      <x:c r="N169" s="110" t="str"/>
      <x:c r="O169" s="110" t="str"/>
      <x:c r="P169" s="110" t="str"/>
      <x:c r="Q169" s="110" t="str"/>
      <x:c r="R169" s="110" t="str"/>
      <x:c r="S169" s="110" t="str"/>
      <x:c r="T169" s="110" t="str"/>
      <x:c r="U169" s="110" t="str"/>
      <x:c r="V169" s="110" t="str"/>
    </x:row>
    <x:row r="170" ht="32" customHeight="1">
      <x:c r="A170" s="110" t="str"/>
      <x:c r="B170" s="110" t="str"/>
      <x:c r="C170" s="110" t="str"/>
      <x:c r="D170" s="110" t="str"/>
      <x:c r="E170" s="110" t="str"/>
      <x:c r="F170" s="110" t="str"/>
      <x:c r="G170" s="112" t="str"/>
      <x:c r="H170" s="112" t="str"/>
      <x:c r="I170" s="110" t="str"/>
      <x:c r="J170" s="110" t="str"/>
      <x:c r="K170" s="110" t="str"/>
      <x:c r="L170" s="110" t="str"/>
      <x:c r="M170" s="110" t="str"/>
      <x:c r="N170" s="110" t="str"/>
      <x:c r="O170" s="110" t="str"/>
      <x:c r="P170" s="110" t="str"/>
      <x:c r="Q170" s="110" t="str"/>
      <x:c r="R170" s="110" t="str"/>
      <x:c r="S170" s="110" t="str"/>
      <x:c r="T170" s="110" t="str"/>
      <x:c r="U170" s="110" t="str"/>
      <x:c r="V170" s="110" t="str"/>
    </x:row>
    <x:row r="171" ht="32" customHeight="1">
      <x:c r="A171" s="110" t="str"/>
      <x:c r="B171" s="110" t="str"/>
      <x:c r="C171" s="110" t="str"/>
      <x:c r="D171" s="110" t="str"/>
      <x:c r="E171" s="110" t="str"/>
      <x:c r="F171" s="110" t="str"/>
      <x:c r="G171" s="112" t="str"/>
      <x:c r="H171" s="112" t="str"/>
      <x:c r="I171" s="110" t="str"/>
      <x:c r="J171" s="110" t="str"/>
      <x:c r="K171" s="110" t="str"/>
      <x:c r="L171" s="110" t="str"/>
      <x:c r="M171" s="110" t="str"/>
      <x:c r="N171" s="110" t="str"/>
      <x:c r="O171" s="110" t="str"/>
      <x:c r="P171" s="110" t="str"/>
      <x:c r="Q171" s="110" t="str"/>
      <x:c r="R171" s="110" t="str"/>
      <x:c r="S171" s="110" t="str"/>
      <x:c r="T171" s="110" t="str"/>
      <x:c r="U171" s="110" t="str"/>
      <x:c r="V171" s="110" t="str"/>
    </x:row>
    <x:row r="172" ht="32" customHeight="1">
      <x:c r="A172" s="110" t="str"/>
      <x:c r="B172" s="110" t="str"/>
      <x:c r="C172" s="110" t="str"/>
      <x:c r="D172" s="110" t="str"/>
      <x:c r="E172" s="110" t="str"/>
      <x:c r="F172" s="110" t="str"/>
      <x:c r="G172" s="112" t="str"/>
      <x:c r="H172" s="112" t="str"/>
      <x:c r="I172" s="110" t="str"/>
      <x:c r="J172" s="110" t="str"/>
      <x:c r="K172" s="110" t="str"/>
      <x:c r="L172" s="110" t="str"/>
      <x:c r="M172" s="110" t="str"/>
      <x:c r="N172" s="110" t="str"/>
      <x:c r="O172" s="110" t="str"/>
      <x:c r="P172" s="110" t="str"/>
      <x:c r="Q172" s="110" t="str"/>
      <x:c r="R172" s="110" t="str"/>
      <x:c r="S172" s="110" t="str"/>
      <x:c r="T172" s="110" t="str"/>
      <x:c r="U172" s="110" t="str"/>
      <x:c r="V172" s="110" t="str"/>
    </x:row>
    <x:row r="173" ht="32" customHeight="1">
      <x:c r="A173" s="110" t="str"/>
      <x:c r="B173" s="110" t="str"/>
      <x:c r="C173" s="110" t="str"/>
      <x:c r="D173" s="110" t="str"/>
      <x:c r="E173" s="110" t="str"/>
      <x:c r="F173" s="110" t="str"/>
      <x:c r="G173" s="112" t="str"/>
      <x:c r="H173" s="112" t="str"/>
      <x:c r="I173" s="110" t="str"/>
      <x:c r="J173" s="110" t="str"/>
      <x:c r="K173" s="110" t="str"/>
      <x:c r="L173" s="110" t="str"/>
      <x:c r="M173" s="110" t="str"/>
      <x:c r="N173" s="110" t="str"/>
      <x:c r="O173" s="110" t="str"/>
      <x:c r="P173" s="110" t="str"/>
      <x:c r="Q173" s="110" t="str"/>
      <x:c r="R173" s="110" t="str"/>
      <x:c r="S173" s="110" t="str"/>
      <x:c r="T173" s="110" t="str"/>
      <x:c r="U173" s="110" t="str"/>
      <x:c r="V173" s="110" t="str"/>
    </x:row>
    <x:row r="174" ht="32" customHeight="1">
      <x:c r="A174" s="110" t="str"/>
      <x:c r="B174" s="110" t="str"/>
      <x:c r="C174" s="110" t="str"/>
      <x:c r="D174" s="110" t="str"/>
      <x:c r="E174" s="110" t="str"/>
      <x:c r="F174" s="110" t="str"/>
      <x:c r="G174" s="112" t="str"/>
      <x:c r="H174" s="112" t="str"/>
      <x:c r="I174" s="110" t="str"/>
      <x:c r="J174" s="110" t="str"/>
      <x:c r="K174" s="110" t="str"/>
      <x:c r="L174" s="110" t="str"/>
      <x:c r="M174" s="110" t="str"/>
      <x:c r="N174" s="110" t="str"/>
      <x:c r="O174" s="110" t="str"/>
      <x:c r="P174" s="110" t="str"/>
      <x:c r="Q174" s="110" t="str"/>
      <x:c r="R174" s="110" t="str"/>
      <x:c r="S174" s="110" t="str"/>
      <x:c r="T174" s="110" t="str"/>
      <x:c r="U174" s="110" t="str"/>
      <x:c r="V174" s="110" t="str"/>
    </x:row>
    <x:row r="175" ht="32" customHeight="1">
      <x:c r="A175" s="110" t="str"/>
      <x:c r="B175" s="110" t="str"/>
      <x:c r="C175" s="110" t="str"/>
      <x:c r="D175" s="110" t="str"/>
      <x:c r="E175" s="110" t="str"/>
      <x:c r="F175" s="110" t="str"/>
      <x:c r="G175" s="112" t="str"/>
      <x:c r="H175" s="112" t="str"/>
      <x:c r="I175" s="110" t="str"/>
      <x:c r="J175" s="110" t="str"/>
      <x:c r="K175" s="110" t="str"/>
      <x:c r="L175" s="110" t="str"/>
      <x:c r="M175" s="110" t="str"/>
      <x:c r="N175" s="110" t="str"/>
      <x:c r="O175" s="110" t="str"/>
      <x:c r="P175" s="110" t="str"/>
      <x:c r="Q175" s="110" t="str"/>
      <x:c r="R175" s="110" t="str"/>
      <x:c r="S175" s="110" t="str"/>
      <x:c r="T175" s="110" t="str"/>
      <x:c r="U175" s="110" t="str"/>
      <x:c r="V175" s="110" t="str"/>
    </x:row>
    <x:row r="176" ht="32" customHeight="1">
      <x:c r="A176" s="110" t="str"/>
      <x:c r="B176" s="110" t="str"/>
      <x:c r="C176" s="110" t="str"/>
      <x:c r="D176" s="110" t="str"/>
      <x:c r="E176" s="110" t="str"/>
      <x:c r="F176" s="110" t="str"/>
      <x:c r="G176" s="112" t="str"/>
      <x:c r="H176" s="112" t="str"/>
      <x:c r="I176" s="110" t="str"/>
      <x:c r="J176" s="110" t="str"/>
      <x:c r="K176" s="110" t="str"/>
      <x:c r="L176" s="110" t="str"/>
      <x:c r="M176" s="110" t="str"/>
      <x:c r="N176" s="110" t="str"/>
      <x:c r="O176" s="110" t="str"/>
      <x:c r="P176" s="110" t="str"/>
      <x:c r="Q176" s="110" t="str"/>
      <x:c r="R176" s="110" t="str"/>
      <x:c r="S176" s="110" t="str"/>
      <x:c r="T176" s="110" t="str"/>
      <x:c r="U176" s="110" t="str"/>
      <x:c r="V176" s="110" t="str"/>
    </x:row>
    <x:row r="177" ht="32" customHeight="1">
      <x:c r="A177" s="110" t="str"/>
      <x:c r="B177" s="110" t="str"/>
      <x:c r="C177" s="110" t="str"/>
      <x:c r="D177" s="110" t="str"/>
      <x:c r="E177" s="110" t="str"/>
      <x:c r="F177" s="110" t="str"/>
      <x:c r="G177" s="112" t="str"/>
      <x:c r="H177" s="112" t="str"/>
      <x:c r="I177" s="110" t="str"/>
      <x:c r="J177" s="110" t="str"/>
      <x:c r="K177" s="110" t="str"/>
      <x:c r="L177" s="110" t="str"/>
      <x:c r="M177" s="110" t="str"/>
      <x:c r="N177" s="110" t="str"/>
      <x:c r="O177" s="110" t="str"/>
      <x:c r="P177" s="110" t="str"/>
      <x:c r="Q177" s="110" t="str"/>
      <x:c r="R177" s="110" t="str"/>
      <x:c r="S177" s="110" t="str"/>
      <x:c r="T177" s="110" t="str"/>
      <x:c r="U177" s="110" t="str"/>
      <x:c r="V177" s="110" t="str"/>
    </x:row>
    <x:row r="178" ht="32" customHeight="1">
      <x:c r="A178" s="110" t="str"/>
      <x:c r="B178" s="110" t="str"/>
      <x:c r="C178" s="110" t="str"/>
      <x:c r="D178" s="110" t="str"/>
      <x:c r="E178" s="110" t="str"/>
      <x:c r="F178" s="110" t="str"/>
      <x:c r="G178" s="112" t="str"/>
      <x:c r="H178" s="112" t="str"/>
      <x:c r="I178" s="110" t="str"/>
      <x:c r="J178" s="110" t="str"/>
      <x:c r="K178" s="110" t="str"/>
      <x:c r="L178" s="110" t="str"/>
      <x:c r="M178" s="110" t="str"/>
      <x:c r="N178" s="110" t="str"/>
      <x:c r="O178" s="110" t="str"/>
      <x:c r="P178" s="110" t="str"/>
      <x:c r="Q178" s="110" t="str"/>
      <x:c r="R178" s="110" t="str"/>
      <x:c r="S178" s="110" t="str"/>
      <x:c r="T178" s="110" t="str"/>
      <x:c r="U178" s="110" t="str"/>
      <x:c r="V178" s="110" t="str"/>
    </x:row>
    <x:row r="179" ht="32" customHeight="1">
      <x:c r="A179" s="110" t="str"/>
      <x:c r="B179" s="110" t="str"/>
      <x:c r="C179" s="110" t="str"/>
      <x:c r="D179" s="110" t="str"/>
      <x:c r="E179" s="110" t="str"/>
      <x:c r="F179" s="110" t="str"/>
      <x:c r="G179" s="112" t="str"/>
      <x:c r="H179" s="112" t="str"/>
      <x:c r="I179" s="110" t="str"/>
      <x:c r="J179" s="110" t="str"/>
      <x:c r="K179" s="110" t="str"/>
      <x:c r="L179" s="110" t="str"/>
      <x:c r="M179" s="110" t="str"/>
      <x:c r="N179" s="110" t="str"/>
      <x:c r="O179" s="110" t="str"/>
      <x:c r="P179" s="110" t="str"/>
      <x:c r="Q179" s="110" t="str"/>
      <x:c r="R179" s="110" t="str"/>
      <x:c r="S179" s="110" t="str"/>
      <x:c r="T179" s="110" t="str"/>
      <x:c r="U179" s="110" t="str"/>
      <x:c r="V179" s="110" t="str"/>
    </x:row>
    <x:row r="180" ht="32" customHeight="1">
      <x:c r="A180" s="110" t="str"/>
      <x:c r="B180" s="110" t="str"/>
      <x:c r="C180" s="110" t="str"/>
      <x:c r="D180" s="110" t="str"/>
      <x:c r="E180" s="110" t="str"/>
      <x:c r="F180" s="110" t="str"/>
      <x:c r="G180" s="112" t="str"/>
      <x:c r="H180" s="112" t="str"/>
      <x:c r="I180" s="110" t="str"/>
      <x:c r="J180" s="110" t="str"/>
      <x:c r="K180" s="110" t="str"/>
      <x:c r="L180" s="110" t="str"/>
      <x:c r="M180" s="110" t="str"/>
      <x:c r="N180" s="110" t="str"/>
      <x:c r="O180" s="110" t="str"/>
      <x:c r="P180" s="110" t="str"/>
      <x:c r="Q180" s="110" t="str"/>
      <x:c r="R180" s="110" t="str"/>
      <x:c r="S180" s="110" t="str"/>
      <x:c r="T180" s="110" t="str"/>
      <x:c r="U180" s="110" t="str"/>
      <x:c r="V180" s="110" t="str"/>
    </x:row>
    <x:row r="181" ht="32" customHeight="1">
      <x:c r="A181" s="110" t="str"/>
      <x:c r="B181" s="110" t="str"/>
      <x:c r="C181" s="110" t="str"/>
      <x:c r="D181" s="110" t="str"/>
      <x:c r="E181" s="110" t="str"/>
      <x:c r="F181" s="110" t="str"/>
      <x:c r="G181" s="112" t="str"/>
      <x:c r="H181" s="112" t="str"/>
      <x:c r="I181" s="110" t="str"/>
      <x:c r="J181" s="110" t="str"/>
      <x:c r="K181" s="110" t="str"/>
      <x:c r="L181" s="110" t="str"/>
      <x:c r="M181" s="110" t="str"/>
      <x:c r="N181" s="110" t="str"/>
      <x:c r="O181" s="110" t="str"/>
      <x:c r="P181" s="110" t="str"/>
      <x:c r="Q181" s="110" t="str"/>
      <x:c r="R181" s="110" t="str"/>
      <x:c r="S181" s="110" t="str"/>
      <x:c r="T181" s="110" t="str"/>
      <x:c r="U181" s="110" t="str"/>
      <x:c r="V181" s="110" t="str"/>
    </x:row>
    <x:row r="182" ht="32" customHeight="1">
      <x:c r="A182" s="110" t="str"/>
      <x:c r="B182" s="110" t="str"/>
      <x:c r="C182" s="110" t="str"/>
      <x:c r="D182" s="110" t="str"/>
      <x:c r="E182" s="110" t="str"/>
      <x:c r="F182" s="110" t="str"/>
      <x:c r="G182" s="112" t="str"/>
      <x:c r="H182" s="112" t="str"/>
      <x:c r="I182" s="110" t="str"/>
      <x:c r="J182" s="110" t="str"/>
      <x:c r="K182" s="110" t="str"/>
      <x:c r="L182" s="110" t="str"/>
      <x:c r="M182" s="110" t="str"/>
      <x:c r="N182" s="110" t="str"/>
      <x:c r="O182" s="110" t="str"/>
      <x:c r="P182" s="110" t="str"/>
      <x:c r="Q182" s="110" t="str"/>
      <x:c r="R182" s="110" t="str"/>
      <x:c r="S182" s="110" t="str"/>
      <x:c r="T182" s="110" t="str"/>
      <x:c r="U182" s="110" t="str"/>
      <x:c r="V182" s="110" t="str"/>
    </x:row>
    <x:row r="183" ht="32" customHeight="1">
      <x:c r="A183" s="110" t="str"/>
      <x:c r="B183" s="110" t="str"/>
      <x:c r="C183" s="110" t="str"/>
      <x:c r="D183" s="110" t="str"/>
      <x:c r="E183" s="110" t="str"/>
      <x:c r="F183" s="110" t="str"/>
      <x:c r="G183" s="112" t="str"/>
      <x:c r="H183" s="112" t="str"/>
      <x:c r="I183" s="110" t="str"/>
      <x:c r="J183" s="110" t="str"/>
      <x:c r="K183" s="110" t="str"/>
      <x:c r="L183" s="110" t="str"/>
      <x:c r="M183" s="110" t="str"/>
      <x:c r="N183" s="110" t="str"/>
      <x:c r="O183" s="110" t="str"/>
      <x:c r="P183" s="110" t="str"/>
      <x:c r="Q183" s="110" t="str"/>
      <x:c r="R183" s="110" t="str"/>
      <x:c r="S183" s="110" t="str"/>
      <x:c r="T183" s="110" t="str"/>
      <x:c r="U183" s="110" t="str"/>
      <x:c r="V183" s="110" t="str"/>
    </x:row>
    <x:row r="184" ht="32" customHeight="1">
      <x:c r="A184" s="110" t="str"/>
      <x:c r="B184" s="110" t="str"/>
      <x:c r="C184" s="110" t="str"/>
      <x:c r="D184" s="110" t="str"/>
      <x:c r="E184" s="110" t="str"/>
      <x:c r="F184" s="110" t="str"/>
      <x:c r="G184" s="112" t="str"/>
      <x:c r="H184" s="112" t="str"/>
      <x:c r="I184" s="110" t="str"/>
      <x:c r="J184" s="110" t="str"/>
      <x:c r="K184" s="110" t="str"/>
      <x:c r="L184" s="110" t="str"/>
      <x:c r="M184" s="110" t="str"/>
      <x:c r="N184" s="110" t="str"/>
      <x:c r="O184" s="110" t="str"/>
      <x:c r="P184" s="110" t="str"/>
      <x:c r="Q184" s="110" t="str"/>
      <x:c r="R184" s="110" t="str"/>
      <x:c r="S184" s="110" t="str"/>
      <x:c r="T184" s="110" t="str"/>
      <x:c r="U184" s="110" t="str"/>
      <x:c r="V184" s="110" t="str"/>
    </x:row>
    <x:row r="185" ht="32" customHeight="1">
      <x:c r="A185" s="110" t="str"/>
      <x:c r="B185" s="110" t="str"/>
      <x:c r="C185" s="110" t="str"/>
      <x:c r="D185" s="110" t="str"/>
      <x:c r="E185" s="110" t="str"/>
      <x:c r="F185" s="110" t="str"/>
      <x:c r="G185" s="112" t="str"/>
      <x:c r="H185" s="112" t="str"/>
      <x:c r="I185" s="110" t="str"/>
      <x:c r="J185" s="110" t="str"/>
      <x:c r="K185" s="110" t="str"/>
      <x:c r="L185" s="110" t="str"/>
      <x:c r="M185" s="110" t="str"/>
      <x:c r="N185" s="110" t="str"/>
      <x:c r="O185" s="110" t="str"/>
      <x:c r="P185" s="110" t="str"/>
      <x:c r="Q185" s="110" t="str"/>
      <x:c r="R185" s="110" t="str"/>
      <x:c r="S185" s="110" t="str"/>
      <x:c r="T185" s="110" t="str"/>
      <x:c r="U185" s="110" t="str"/>
      <x:c r="V185" s="110" t="str"/>
    </x:row>
    <x:row r="186" ht="32" customHeight="1">
      <x:c r="A186" s="110" t="str"/>
      <x:c r="B186" s="110" t="str"/>
      <x:c r="C186" s="110" t="str"/>
      <x:c r="D186" s="110" t="str"/>
      <x:c r="E186" s="110" t="str"/>
      <x:c r="F186" s="110" t="str"/>
      <x:c r="G186" s="112" t="str"/>
      <x:c r="H186" s="112" t="str"/>
      <x:c r="I186" s="110" t="str"/>
      <x:c r="J186" s="110" t="str"/>
      <x:c r="K186" s="110" t="str"/>
      <x:c r="L186" s="110" t="str"/>
      <x:c r="M186" s="110" t="str"/>
      <x:c r="N186" s="110" t="str"/>
      <x:c r="O186" s="110" t="str"/>
      <x:c r="P186" s="110" t="str"/>
      <x:c r="Q186" s="110" t="str"/>
      <x:c r="R186" s="110" t="str"/>
      <x:c r="S186" s="110" t="str"/>
      <x:c r="T186" s="110" t="str"/>
      <x:c r="U186" s="110" t="str"/>
      <x:c r="V186" s="110" t="str"/>
    </x:row>
    <x:row r="187" ht="32" customHeight="1">
      <x:c r="A187" s="110" t="str"/>
      <x:c r="B187" s="110" t="str"/>
      <x:c r="C187" s="110" t="str"/>
      <x:c r="D187" s="110" t="str"/>
      <x:c r="E187" s="110" t="str"/>
      <x:c r="F187" s="110" t="str"/>
      <x:c r="G187" s="112" t="str"/>
      <x:c r="H187" s="112" t="str"/>
      <x:c r="I187" s="110" t="str"/>
      <x:c r="J187" s="110" t="str"/>
      <x:c r="K187" s="110" t="str"/>
      <x:c r="L187" s="110" t="str"/>
      <x:c r="M187" s="110" t="str"/>
      <x:c r="N187" s="110" t="str"/>
      <x:c r="O187" s="110" t="str"/>
      <x:c r="P187" s="110" t="str"/>
      <x:c r="Q187" s="110" t="str"/>
      <x:c r="R187" s="110" t="str"/>
      <x:c r="S187" s="110" t="str"/>
      <x:c r="T187" s="110" t="str"/>
      <x:c r="U187" s="110" t="str"/>
      <x:c r="V187" s="110" t="str"/>
    </x:row>
    <x:row r="188" ht="32" customHeight="1">
      <x:c r="A188" s="110" t="str"/>
      <x:c r="B188" s="110" t="str"/>
      <x:c r="C188" s="110" t="str"/>
      <x:c r="D188" s="110" t="str"/>
      <x:c r="E188" s="110" t="str"/>
      <x:c r="F188" s="110" t="str"/>
      <x:c r="G188" s="112" t="str"/>
      <x:c r="H188" s="112" t="str"/>
      <x:c r="I188" s="110" t="str"/>
      <x:c r="J188" s="110" t="str"/>
      <x:c r="K188" s="110" t="str"/>
      <x:c r="L188" s="110" t="str"/>
      <x:c r="M188" s="110" t="str"/>
      <x:c r="N188" s="110" t="str"/>
      <x:c r="O188" s="110" t="str"/>
      <x:c r="P188" s="110" t="str"/>
      <x:c r="Q188" s="110" t="str"/>
      <x:c r="R188" s="110" t="str"/>
      <x:c r="S188" s="110" t="str"/>
      <x:c r="T188" s="110" t="str"/>
      <x:c r="U188" s="110" t="str"/>
      <x:c r="V188" s="110" t="str"/>
    </x:row>
    <x:row r="189" ht="32" customHeight="1">
      <x:c r="A189" s="110" t="str"/>
      <x:c r="B189" s="110" t="str"/>
      <x:c r="C189" s="110" t="str"/>
      <x:c r="D189" s="110" t="str"/>
      <x:c r="E189" s="110" t="str"/>
      <x:c r="F189" s="110" t="str"/>
      <x:c r="G189" s="112" t="str"/>
      <x:c r="H189" s="112" t="str"/>
      <x:c r="I189" s="110" t="str"/>
      <x:c r="J189" s="110" t="str"/>
      <x:c r="K189" s="110" t="str"/>
      <x:c r="L189" s="110" t="str"/>
      <x:c r="M189" s="110" t="str"/>
      <x:c r="N189" s="110" t="str"/>
      <x:c r="O189" s="110" t="str"/>
      <x:c r="P189" s="110" t="str"/>
      <x:c r="Q189" s="110" t="str"/>
      <x:c r="R189" s="110" t="str"/>
      <x:c r="S189" s="110" t="str"/>
      <x:c r="T189" s="110" t="str"/>
      <x:c r="U189" s="110" t="str"/>
      <x:c r="V189" s="110" t="str"/>
    </x:row>
    <x:row r="190" ht="32" customHeight="1">
      <x:c r="A190" s="110" t="str"/>
      <x:c r="B190" s="110" t="str"/>
      <x:c r="C190" s="110" t="str"/>
      <x:c r="D190" s="110" t="str"/>
      <x:c r="E190" s="110" t="str"/>
      <x:c r="F190" s="110" t="str"/>
      <x:c r="G190" s="112" t="str"/>
      <x:c r="H190" s="112" t="str"/>
      <x:c r="I190" s="110" t="str"/>
      <x:c r="J190" s="110" t="str"/>
      <x:c r="K190" s="110" t="str"/>
      <x:c r="L190" s="110" t="str"/>
      <x:c r="M190" s="110" t="str"/>
      <x:c r="N190" s="110" t="str"/>
      <x:c r="O190" s="110" t="str"/>
      <x:c r="P190" s="110" t="str"/>
      <x:c r="Q190" s="110" t="str"/>
      <x:c r="R190" s="110" t="str"/>
      <x:c r="S190" s="110" t="str"/>
      <x:c r="T190" s="110" t="str"/>
      <x:c r="U190" s="110" t="str"/>
      <x:c r="V190" s="110" t="str"/>
    </x:row>
    <x:row r="191" ht="32" customHeight="1">
      <x:c r="A191" s="110" t="str"/>
      <x:c r="B191" s="110" t="str"/>
      <x:c r="C191" s="110" t="str"/>
      <x:c r="D191" s="110" t="str"/>
      <x:c r="E191" s="110" t="str"/>
      <x:c r="F191" s="110" t="str"/>
      <x:c r="G191" s="112" t="str"/>
      <x:c r="H191" s="112" t="str"/>
      <x:c r="I191" s="110" t="str"/>
      <x:c r="J191" s="110" t="str"/>
      <x:c r="K191" s="110" t="str"/>
      <x:c r="L191" s="110" t="str"/>
      <x:c r="M191" s="110" t="str"/>
      <x:c r="N191" s="110" t="str"/>
      <x:c r="O191" s="110" t="str"/>
      <x:c r="P191" s="110" t="str"/>
      <x:c r="Q191" s="110" t="str"/>
      <x:c r="R191" s="110" t="str"/>
      <x:c r="S191" s="110" t="str"/>
      <x:c r="T191" s="110" t="str"/>
      <x:c r="U191" s="110" t="str"/>
      <x:c r="V191" s="110" t="str"/>
    </x:row>
    <x:row r="192" ht="32" customHeight="1">
      <x:c r="A192" s="110" t="str"/>
      <x:c r="B192" s="110" t="str"/>
      <x:c r="C192" s="110" t="str"/>
      <x:c r="D192" s="110" t="str"/>
      <x:c r="E192" s="110" t="str"/>
      <x:c r="F192" s="110" t="str"/>
      <x:c r="G192" s="112" t="str"/>
      <x:c r="H192" s="112" t="str"/>
      <x:c r="I192" s="110" t="str"/>
      <x:c r="J192" s="110" t="str"/>
      <x:c r="K192" s="110" t="str"/>
      <x:c r="L192" s="110" t="str"/>
      <x:c r="M192" s="110" t="str"/>
      <x:c r="N192" s="110" t="str"/>
      <x:c r="O192" s="110" t="str"/>
      <x:c r="P192" s="110" t="str"/>
      <x:c r="Q192" s="110" t="str"/>
      <x:c r="R192" s="110" t="str"/>
      <x:c r="S192" s="110" t="str"/>
      <x:c r="T192" s="110" t="str"/>
      <x:c r="U192" s="110" t="str"/>
      <x:c r="V192" s="110" t="str"/>
    </x:row>
    <x:row r="193" ht="32" customHeight="1">
      <x:c r="A193" s="110" t="str"/>
      <x:c r="B193" s="110" t="str"/>
      <x:c r="C193" s="110" t="str"/>
      <x:c r="D193" s="110" t="str"/>
      <x:c r="E193" s="110" t="str"/>
      <x:c r="F193" s="110" t="str"/>
      <x:c r="G193" s="112" t="str"/>
      <x:c r="H193" s="112" t="str"/>
      <x:c r="I193" s="110" t="str"/>
      <x:c r="J193" s="110" t="str"/>
      <x:c r="K193" s="110" t="str"/>
      <x:c r="L193" s="110" t="str"/>
      <x:c r="M193" s="110" t="str"/>
      <x:c r="N193" s="110" t="str"/>
      <x:c r="O193" s="110" t="str"/>
      <x:c r="P193" s="110" t="str"/>
      <x:c r="Q193" s="110" t="str"/>
      <x:c r="R193" s="110" t="str"/>
      <x:c r="S193" s="110" t="str"/>
      <x:c r="T193" s="110" t="str"/>
      <x:c r="U193" s="110" t="str"/>
      <x:c r="V193" s="110" t="str"/>
    </x:row>
    <x:row r="194" ht="32" customHeight="1">
      <x:c r="A194" s="110" t="str"/>
      <x:c r="B194" s="110" t="str"/>
      <x:c r="C194" s="110" t="str"/>
      <x:c r="D194" s="110" t="str"/>
      <x:c r="E194" s="110" t="str"/>
      <x:c r="F194" s="110" t="str"/>
      <x:c r="G194" s="112" t="str"/>
      <x:c r="H194" s="112" t="str"/>
      <x:c r="I194" s="110" t="str"/>
      <x:c r="J194" s="110" t="str"/>
      <x:c r="K194" s="110" t="str"/>
      <x:c r="L194" s="110" t="str"/>
      <x:c r="M194" s="110" t="str"/>
      <x:c r="N194" s="110" t="str"/>
      <x:c r="O194" s="110" t="str"/>
      <x:c r="P194" s="110" t="str"/>
      <x:c r="Q194" s="110" t="str"/>
      <x:c r="R194" s="110" t="str"/>
      <x:c r="S194" s="110" t="str"/>
      <x:c r="T194" s="110" t="str"/>
      <x:c r="U194" s="110" t="str"/>
      <x:c r="V194" s="110" t="str"/>
    </x:row>
    <x:row r="195" ht="32" customHeight="1">
      <x:c r="A195" s="110" t="str"/>
      <x:c r="B195" s="110" t="str"/>
      <x:c r="C195" s="110" t="str"/>
      <x:c r="D195" s="110" t="str"/>
      <x:c r="E195" s="110" t="str"/>
      <x:c r="F195" s="110" t="str"/>
      <x:c r="G195" s="112" t="str"/>
      <x:c r="H195" s="112" t="str"/>
      <x:c r="I195" s="110" t="str"/>
      <x:c r="J195" s="110" t="str"/>
      <x:c r="K195" s="110" t="str"/>
      <x:c r="L195" s="110" t="str"/>
      <x:c r="M195" s="110" t="str"/>
      <x:c r="N195" s="110" t="str"/>
      <x:c r="O195" s="110" t="str"/>
      <x:c r="P195" s="110" t="str"/>
      <x:c r="Q195" s="110" t="str"/>
      <x:c r="R195" s="110" t="str"/>
      <x:c r="S195" s="110" t="str"/>
      <x:c r="T195" s="110" t="str"/>
      <x:c r="U195" s="110" t="str"/>
      <x:c r="V195" s="110" t="str"/>
    </x:row>
    <x:row r="196" ht="32" customHeight="1">
      <x:c r="A196" s="110" t="str"/>
      <x:c r="B196" s="110" t="str"/>
      <x:c r="C196" s="110" t="str"/>
      <x:c r="D196" s="110" t="str"/>
      <x:c r="E196" s="110" t="str"/>
      <x:c r="F196" s="110" t="str"/>
      <x:c r="G196" s="112" t="str"/>
      <x:c r="H196" s="112" t="str"/>
      <x:c r="I196" s="110" t="str"/>
      <x:c r="J196" s="110" t="str"/>
      <x:c r="K196" s="110" t="str"/>
      <x:c r="L196" s="110" t="str"/>
      <x:c r="M196" s="110" t="str"/>
      <x:c r="N196" s="110" t="str"/>
      <x:c r="O196" s="110" t="str"/>
      <x:c r="P196" s="110" t="str"/>
      <x:c r="Q196" s="110" t="str"/>
      <x:c r="R196" s="110" t="str"/>
      <x:c r="S196" s="110" t="str"/>
      <x:c r="T196" s="110" t="str"/>
      <x:c r="U196" s="110" t="str"/>
      <x:c r="V196" s="110" t="str"/>
    </x:row>
    <x:row r="197" ht="32" customHeight="1">
      <x:c r="A197" s="110" t="str"/>
      <x:c r="B197" s="110" t="str"/>
      <x:c r="C197" s="110" t="str"/>
      <x:c r="D197" s="110" t="str"/>
      <x:c r="E197" s="110" t="str"/>
      <x:c r="F197" s="110" t="str"/>
      <x:c r="G197" s="112" t="str"/>
      <x:c r="H197" s="112" t="str"/>
      <x:c r="I197" s="110" t="str"/>
      <x:c r="J197" s="110" t="str"/>
      <x:c r="K197" s="110" t="str"/>
      <x:c r="L197" s="110" t="str"/>
      <x:c r="M197" s="110" t="str"/>
      <x:c r="N197" s="110" t="str"/>
      <x:c r="O197" s="110" t="str"/>
      <x:c r="P197" s="110" t="str"/>
      <x:c r="Q197" s="110" t="str"/>
      <x:c r="R197" s="110" t="str"/>
      <x:c r="S197" s="110" t="str"/>
      <x:c r="T197" s="110" t="str"/>
      <x:c r="U197" s="110" t="str"/>
      <x:c r="V197" s="110" t="str"/>
    </x:row>
    <x:row r="198" ht="32" customHeight="1">
      <x:c r="A198" s="110" t="str"/>
      <x:c r="B198" s="110" t="str"/>
      <x:c r="C198" s="110" t="str"/>
      <x:c r="D198" s="110" t="str"/>
      <x:c r="E198" s="110" t="str"/>
      <x:c r="F198" s="110" t="str"/>
      <x:c r="G198" s="112" t="str"/>
      <x:c r="H198" s="112" t="str"/>
      <x:c r="I198" s="110" t="str"/>
      <x:c r="J198" s="110" t="str"/>
      <x:c r="K198" s="110" t="str"/>
      <x:c r="L198" s="110" t="str"/>
      <x:c r="M198" s="110" t="str"/>
      <x:c r="N198" s="110" t="str"/>
      <x:c r="O198" s="110" t="str"/>
      <x:c r="P198" s="110" t="str"/>
      <x:c r="Q198" s="110" t="str"/>
      <x:c r="R198" s="110" t="str"/>
      <x:c r="S198" s="110" t="str"/>
      <x:c r="T198" s="110" t="str"/>
      <x:c r="U198" s="110" t="str"/>
      <x:c r="V198" s="110" t="str"/>
    </x:row>
    <x:row r="199" ht="32" customHeight="1">
      <x:c r="A199" s="110" t="str"/>
      <x:c r="B199" s="110" t="str"/>
      <x:c r="C199" s="110" t="str"/>
      <x:c r="D199" s="110" t="str"/>
      <x:c r="E199" s="110" t="str"/>
      <x:c r="F199" s="110" t="str"/>
      <x:c r="G199" s="112" t="str"/>
      <x:c r="H199" s="112" t="str"/>
      <x:c r="I199" s="110" t="str"/>
      <x:c r="J199" s="110" t="str"/>
      <x:c r="K199" s="110" t="str"/>
      <x:c r="L199" s="110" t="str"/>
      <x:c r="M199" s="110" t="str"/>
      <x:c r="N199" s="110" t="str"/>
      <x:c r="O199" s="110" t="str"/>
      <x:c r="P199" s="110" t="str"/>
      <x:c r="Q199" s="110" t="str"/>
      <x:c r="R199" s="110" t="str"/>
      <x:c r="S199" s="110" t="str"/>
      <x:c r="T199" s="110" t="str"/>
      <x:c r="U199" s="110" t="str"/>
      <x:c r="V199" s="110" t="str"/>
    </x:row>
    <x:row r="200" ht="32" customHeight="1">
      <x:c r="A200" s="110" t="str"/>
      <x:c r="B200" s="110" t="str"/>
      <x:c r="C200" s="110" t="str"/>
      <x:c r="D200" s="110" t="str"/>
      <x:c r="E200" s="110" t="str"/>
      <x:c r="F200" s="110" t="str"/>
      <x:c r="G200" s="112" t="str"/>
      <x:c r="H200" s="112" t="str"/>
      <x:c r="I200" s="110" t="str"/>
      <x:c r="J200" s="110" t="str"/>
      <x:c r="K200" s="110" t="str"/>
      <x:c r="L200" s="110" t="str"/>
      <x:c r="M200" s="110" t="str"/>
      <x:c r="N200" s="110" t="str"/>
      <x:c r="O200" s="110" t="str"/>
      <x:c r="P200" s="110" t="str"/>
      <x:c r="Q200" s="110" t="str"/>
      <x:c r="R200" s="110" t="str"/>
      <x:c r="S200" s="110" t="str"/>
      <x:c r="T200" s="110" t="str"/>
      <x:c r="U200" s="110" t="str"/>
      <x:c r="V200" s="110" t="str"/>
    </x:row>
    <x:row r="201" ht="32" customHeight="1">
      <x:c r="A201" s="110" t="str"/>
      <x:c r="B201" s="110" t="str"/>
      <x:c r="C201" s="110" t="str"/>
      <x:c r="D201" s="110" t="str"/>
      <x:c r="E201" s="110" t="str"/>
      <x:c r="F201" s="110" t="str"/>
      <x:c r="G201" s="112" t="str"/>
      <x:c r="H201" s="112" t="str"/>
      <x:c r="I201" s="110" t="str"/>
      <x:c r="J201" s="110" t="str"/>
      <x:c r="K201" s="110" t="str"/>
      <x:c r="L201" s="110" t="str"/>
      <x:c r="M201" s="110" t="str"/>
      <x:c r="N201" s="110" t="str"/>
      <x:c r="O201" s="110" t="str"/>
      <x:c r="P201" s="110" t="str"/>
      <x:c r="Q201" s="110" t="str"/>
      <x:c r="R201" s="110" t="str"/>
      <x:c r="S201" s="110" t="str"/>
      <x:c r="T201" s="110" t="str"/>
      <x:c r="U201" s="110" t="str"/>
      <x:c r="V201" s="110" t="str"/>
    </x:row>
    <x:row r="202" ht="32" customHeight="1">
      <x:c r="A202" s="110" t="str"/>
      <x:c r="B202" s="110" t="str"/>
      <x:c r="C202" s="110" t="str"/>
      <x:c r="D202" s="110" t="str"/>
      <x:c r="E202" s="110" t="str"/>
      <x:c r="F202" s="110" t="str"/>
      <x:c r="G202" s="112" t="str"/>
      <x:c r="H202" s="112" t="str"/>
      <x:c r="I202" s="110" t="str"/>
      <x:c r="J202" s="110" t="str"/>
      <x:c r="K202" s="110" t="str"/>
      <x:c r="L202" s="110" t="str"/>
      <x:c r="M202" s="110" t="str"/>
      <x:c r="N202" s="110" t="str"/>
      <x:c r="O202" s="110" t="str"/>
      <x:c r="P202" s="110" t="str"/>
      <x:c r="Q202" s="110" t="str"/>
      <x:c r="R202" s="110" t="str"/>
      <x:c r="S202" s="110" t="str"/>
      <x:c r="T202" s="110" t="str"/>
      <x:c r="U202" s="110" t="str"/>
      <x:c r="V202" s="110" t="str"/>
    </x:row>
    <x:row r="203" ht="32" customHeight="1">
      <x:c r="A203" s="110" t="str"/>
      <x:c r="B203" s="110" t="str"/>
      <x:c r="C203" s="110" t="str"/>
      <x:c r="D203" s="110" t="str"/>
      <x:c r="E203" s="110" t="str"/>
      <x:c r="F203" s="110" t="str"/>
      <x:c r="G203" s="112" t="str"/>
      <x:c r="H203" s="112" t="str"/>
      <x:c r="I203" s="110" t="str"/>
      <x:c r="J203" s="110" t="str"/>
      <x:c r="K203" s="110" t="str"/>
      <x:c r="L203" s="110" t="str"/>
      <x:c r="M203" s="110" t="str"/>
      <x:c r="N203" s="110" t="str"/>
      <x:c r="O203" s="110" t="str"/>
      <x:c r="P203" s="110" t="str"/>
      <x:c r="Q203" s="110" t="str"/>
      <x:c r="R203" s="110" t="str"/>
      <x:c r="S203" s="110" t="str"/>
      <x:c r="T203" s="110" t="str"/>
      <x:c r="U203" s="110" t="str"/>
      <x:c r="V203" s="110" t="str"/>
    </x:row>
    <x:row r="204" ht="32" customHeight="1">
      <x:c r="A204" s="110" t="str"/>
      <x:c r="B204" s="110" t="str"/>
      <x:c r="C204" s="110" t="str"/>
      <x:c r="D204" s="110" t="str"/>
      <x:c r="E204" s="110" t="str"/>
      <x:c r="F204" s="110" t="str"/>
      <x:c r="G204" s="112" t="str"/>
      <x:c r="H204" s="112" t="str"/>
      <x:c r="I204" s="110" t="str"/>
      <x:c r="J204" s="110" t="str"/>
      <x:c r="K204" s="110" t="str"/>
      <x:c r="L204" s="110" t="str"/>
      <x:c r="M204" s="110" t="str"/>
      <x:c r="N204" s="110" t="str"/>
      <x:c r="O204" s="110" t="str"/>
      <x:c r="P204" s="110" t="str"/>
      <x:c r="Q204" s="110" t="str"/>
      <x:c r="R204" s="110" t="str"/>
      <x:c r="S204" s="110" t="str"/>
      <x:c r="T204" s="110" t="str"/>
      <x:c r="U204" s="110" t="str"/>
      <x:c r="V204" s="110" t="str"/>
    </x:row>
  </x:sheetData>
  <x:mergeCells>
    <x:mergeCell ref="A1:V1"/>
    <x:mergeCell ref="A2:V2"/>
  </x:mergeCells>
  <x:conditionalFormatting sqref="J5:J204">
    <x:cfRule type="containsText" dxfId="50" priority="1" operator="containsText" text="已完成"/>
    <x:cfRule type="containsText" dxfId="51" priority="2" operator="containsText" text="已通过"/>
    <x:cfRule type="containsText" dxfId="52" priority="3" operator="containsText" text="进行中"/>
    <x:cfRule type="containsText" dxfId="53" priority="4" operator="containsText" text="待审核"/>
    <x:cfRule type="containsText" dxfId="54" priority="5" operator="containsText" text="阻塞"/>
  </x:conditionalFormatting>
  <x:dataValidations count="7">
    <x:dataValidation type="list" sqref="B5:B204">
      <x:formula1>"实体关系,文字或数值陈述,人物关系,称号授予,事件发生,事件参与,图像表现认定"</x:formula1>
    </x:dataValidation>
    <x:dataValidation type="list" sqref="I5:I204">
      <x:formula1>"确定,约略,不确定,约略且不确定,推定,未知"</x:formula1>
    </x:dataValidation>
    <x:dataValidation type="list" sqref="J5:J204">
      <x:formula1>"草稿,审核中,已采纳,有争议,已驳回,已废弃"</x:formula1>
    </x:dataValidation>
    <x:dataValidation type="list" sqref="N5:N204">
      <x:formula1>"支持,反驳,提供语境,仅提及"</x:formula1>
    </x:dataValidation>
    <x:dataValidation type="list" sqref="O5:O204">
      <x:formula1>"明确记载,推定,语境性,以沉默为据"</x:formula1>
    </x:dataValidation>
    <x:dataValidation type="list" sqref="P5:P204">
      <x:formula1>"一手直接,强,中,弱,未评级"</x:formula1>
    </x:dataValidation>
    <x:dataValidation type="list" sqref="S5:S204">
      <x:formula1>"人工录入,结构化导入,规则抽取,OCR 抽取,实体识别抽取,大模型抽取"</x:formula1>
    </x:dataValidation>
  </x:dataValidations>
  <x:pageMargins left="0.7" right="0.7" top="0.75" bottom="0.75" header="0.3" footer="0.3"/>
  <x:legacyDrawing xmlns:r="http://schemas.openxmlformats.org/officeDocument/2006/relationships" r:id="R56d006c615f44f23"/>
  <x:tableParts count="1">
    <x:tablePart xmlns:r="http://schemas.openxmlformats.org/officeDocument/2006/relationships" r:id="Rec60e870ded447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6" hidden="0" customWidth="1"/>
    <x:col min="5" max="5" width="22" hidden="0" customWidth="1"/>
    <x:col min="6" max="6" width="18" hidden="0" customWidth="1"/>
    <x:col min="7" max="7" width="20" hidden="0" customWidth="1"/>
    <x:col min="8" max="8" width="13" hidden="0" customWidth="1"/>
    <x:col min="9" max="9" width="13" hidden="0" customWidth="1"/>
    <x:col min="10" max="10" width="10" hidden="0" customWidth="1"/>
    <x:col min="11" max="11" width="16" hidden="0" customWidth="1"/>
    <x:col min="12" max="12" width="18" hidden="0" customWidth="1"/>
    <x:col min="13" max="13" width="40" hidden="0" customWidth="1"/>
    <x:col min="14" max="14" width="14" hidden="0" customWidth="1"/>
    <x:col min="15" max="15" width="13" hidden="0" customWidth="1"/>
    <x:col min="16" max="16" width="14" hidden="0" customWidth="1"/>
    <x:col min="17" max="17" width="36" hidden="0" customWidth="1"/>
  </x:cols>
  <x:sheetData>
    <x:row r="1" ht="34" customHeight="1">
      <x:c r="A1" s="3" t="str">
        <x:v>人物关系工作台</x:v>
      </x:c>
    </x:row>
    <x:row r="2" ht="24" customHeight="1">
      <x:c r="A2" s="6" t="str">
        <x:v>关系是有时间、有类型、有证据的主张，不是静态家谱连线。生母、嫡母、抚育者、乳母与承嗣必须分开。</x:v>
      </x:c>
    </x:row>
    <x:row r="4" ht="32" customHeight="1">
      <x:c r="A4" s="92" t="str">
        <x:v>Assertion ID</x:v>
      </x:c>
      <x:c r="B4" s="93" t="str">
        <x:v>主体人物 ID</x:v>
      </x:c>
      <x:c r="C4" s="93" t="str">
        <x:v>主体名</x:v>
      </x:c>
      <x:c r="D4" s="93" t="str">
        <x:v>关系类型代码</x:v>
      </x:c>
      <x:c r="E4" s="93" t="str">
        <x:v>关系中文标签</x:v>
      </x:c>
      <x:c r="F4" s="93" t="str">
        <x:v>客体人物 ID</x:v>
      </x:c>
      <x:c r="G4" s="93" t="str">
        <x:v>客体名</x:v>
      </x:c>
      <x:c r="H4" s="93" t="str">
        <x:v>有效起始</x:v>
      </x:c>
      <x:c r="I4" s="93" t="str">
        <x:v>有效结束</x:v>
      </x:c>
      <x:c r="J4" s="93" t="str">
        <x:v>排行数值</x:v>
      </x:c>
      <x:c r="K4" s="93" t="str">
        <x:v>排行口径</x:v>
      </x:c>
      <x:c r="L4" s="93" t="str">
        <x:v>来源实体 ID</x:v>
      </x:c>
      <x:c r="M4" s="93" t="str">
        <x:v>精确定位</x:v>
      </x:c>
      <x:c r="N4" s="93" t="str">
        <x:v>证据状态</x:v>
      </x:c>
      <x:c r="O4" s="93" t="str">
        <x:v>主张状态</x:v>
      </x:c>
      <x:c r="P4" s="93" t="str">
        <x:v>复核人</x:v>
      </x:c>
      <x:c r="Q4" s="94" t="str">
        <x:v>备注</x:v>
      </x:c>
    </x:row>
    <x:row r="5" ht="32" customHeight="1">
      <x:c r="A5" s="109" t="str">
        <x:v>QH-A-EXAMPLE-001</x:v>
      </x:c>
      <x:c r="B5" s="109" t="str">
        <x:v>QH-P-000002</x:v>
      </x:c>
      <x:c r="C5" s="109" t="str">
        <x:v>爱新觉罗·胤禛</x:v>
      </x:c>
      <x:c r="D5" s="109" t="str">
        <x:v>has_biological_mother</x:v>
      </x:c>
      <x:c r="E5" s="109" t="str">
        <x:v>生母为</x:v>
      </x:c>
      <x:c r="F5" s="109" t="str">
        <x:v>QH-P-000025</x:v>
      </x:c>
      <x:c r="G5" s="109" t="str">
        <x:v>乌雅氏（孝恭仁皇后）</x:v>
      </x:c>
      <x:c r="H5" s="111" t="str"/>
      <x:c r="I5" s="111" t="str"/>
      <x:c r="J5" s="109" t="str"/>
      <x:c r="K5" s="109" t="str">
        <x:v>来源原记</x:v>
      </x:c>
      <x:c r="L5" s="109" t="str"/>
      <x:c r="M5" s="109" t="str">
        <x:v>待精确到具体《玉牒》版本、卷页或档号</x:v>
      </x:c>
      <x:c r="N5" s="109" t="str">
        <x:v>未核验</x:v>
      </x:c>
      <x:c r="O5" s="109" t="str">
        <x:v>草稿</x:v>
      </x:c>
      <x:c r="P5" s="109" t="str"/>
      <x:c r="Q5" s="109" t="str">
        <x:v>结构示例，不构成史实核验完成</x:v>
      </x:c>
    </x:row>
    <x:row r="6" ht="32" customHeight="1">
      <x:c r="A6" s="110" t="str"/>
      <x:c r="B6" s="110" t="str"/>
      <x:c r="C6" s="110" t="str"/>
      <x:c r="D6" s="110" t="str"/>
      <x:c r="E6" s="110" t="str"/>
      <x:c r="F6" s="110" t="str"/>
      <x:c r="G6" s="110" t="str"/>
      <x:c r="H6" s="112" t="str"/>
      <x:c r="I6" s="112" t="str"/>
      <x:c r="J6" s="110" t="str"/>
      <x:c r="K6" s="110" t="str"/>
      <x:c r="L6" s="110" t="str"/>
      <x:c r="M6" s="110" t="str"/>
      <x:c r="N6" s="110" t="str"/>
      <x:c r="O6" s="110" t="str"/>
      <x:c r="P6" s="110" t="str"/>
      <x:c r="Q6" s="110" t="str"/>
    </x:row>
    <x:row r="7" ht="32" customHeight="1">
      <x:c r="A7" s="110" t="str"/>
      <x:c r="B7" s="110" t="str"/>
      <x:c r="C7" s="110" t="str"/>
      <x:c r="D7" s="110" t="str"/>
      <x:c r="E7" s="110" t="str"/>
      <x:c r="F7" s="110" t="str"/>
      <x:c r="G7" s="110" t="str"/>
      <x:c r="H7" s="112" t="str"/>
      <x:c r="I7" s="112" t="str"/>
      <x:c r="J7" s="110" t="str"/>
      <x:c r="K7" s="110" t="str"/>
      <x:c r="L7" s="110" t="str"/>
      <x:c r="M7" s="110" t="str"/>
      <x:c r="N7" s="110" t="str"/>
      <x:c r="O7" s="110" t="str"/>
      <x:c r="P7" s="110" t="str"/>
      <x:c r="Q7" s="110" t="str"/>
    </x:row>
    <x:row r="8" ht="32" customHeight="1">
      <x:c r="A8" s="110" t="str"/>
      <x:c r="B8" s="110" t="str"/>
      <x:c r="C8" s="110" t="str"/>
      <x:c r="D8" s="110" t="str"/>
      <x:c r="E8" s="110" t="str"/>
      <x:c r="F8" s="110" t="str"/>
      <x:c r="G8" s="110" t="str"/>
      <x:c r="H8" s="112" t="str"/>
      <x:c r="I8" s="112" t="str"/>
      <x:c r="J8" s="110" t="str"/>
      <x:c r="K8" s="110" t="str"/>
      <x:c r="L8" s="110" t="str"/>
      <x:c r="M8" s="110" t="str"/>
      <x:c r="N8" s="110" t="str"/>
      <x:c r="O8" s="110" t="str"/>
      <x:c r="P8" s="110" t="str"/>
      <x:c r="Q8" s="110" t="str"/>
    </x:row>
    <x:row r="9" ht="32" customHeight="1">
      <x:c r="A9" s="110" t="str"/>
      <x:c r="B9" s="110" t="str"/>
      <x:c r="C9" s="110" t="str"/>
      <x:c r="D9" s="110" t="str"/>
      <x:c r="E9" s="110" t="str"/>
      <x:c r="F9" s="110" t="str"/>
      <x:c r="G9" s="110" t="str"/>
      <x:c r="H9" s="112" t="str"/>
      <x:c r="I9" s="112" t="str"/>
      <x:c r="J9" s="110" t="str"/>
      <x:c r="K9" s="110" t="str"/>
      <x:c r="L9" s="110" t="str"/>
      <x:c r="M9" s="110" t="str"/>
      <x:c r="N9" s="110" t="str"/>
      <x:c r="O9" s="110" t="str"/>
      <x:c r="P9" s="110" t="str"/>
      <x:c r="Q9" s="110" t="str"/>
    </x:row>
    <x:row r="10" ht="32" customHeight="1">
      <x:c r="A10" s="110" t="str"/>
      <x:c r="B10" s="110" t="str"/>
      <x:c r="C10" s="110" t="str"/>
      <x:c r="D10" s="110" t="str"/>
      <x:c r="E10" s="110" t="str"/>
      <x:c r="F10" s="110" t="str"/>
      <x:c r="G10" s="110" t="str"/>
      <x:c r="H10" s="112" t="str"/>
      <x:c r="I10" s="112" t="str"/>
      <x:c r="J10" s="110" t="str"/>
      <x:c r="K10" s="110" t="str"/>
      <x:c r="L10" s="110" t="str"/>
      <x:c r="M10" s="110" t="str"/>
      <x:c r="N10" s="110" t="str"/>
      <x:c r="O10" s="110" t="str"/>
      <x:c r="P10" s="110" t="str"/>
      <x:c r="Q10" s="110" t="str"/>
    </x:row>
    <x:row r="11" ht="32" customHeight="1">
      <x:c r="A11" s="110" t="str"/>
      <x:c r="B11" s="110" t="str"/>
      <x:c r="C11" s="110" t="str"/>
      <x:c r="D11" s="110" t="str"/>
      <x:c r="E11" s="110" t="str"/>
      <x:c r="F11" s="110" t="str"/>
      <x:c r="G11" s="110" t="str"/>
      <x:c r="H11" s="112" t="str"/>
      <x:c r="I11" s="112" t="str"/>
      <x:c r="J11" s="110" t="str"/>
      <x:c r="K11" s="110" t="str"/>
      <x:c r="L11" s="110" t="str"/>
      <x:c r="M11" s="110" t="str"/>
      <x:c r="N11" s="110" t="str"/>
      <x:c r="O11" s="110" t="str"/>
      <x:c r="P11" s="110" t="str"/>
      <x:c r="Q11" s="110" t="str"/>
    </x:row>
    <x:row r="12" ht="32" customHeight="1">
      <x:c r="A12" s="110" t="str"/>
      <x:c r="B12" s="110" t="str"/>
      <x:c r="C12" s="110" t="str"/>
      <x:c r="D12" s="110" t="str"/>
      <x:c r="E12" s="110" t="str"/>
      <x:c r="F12" s="110" t="str"/>
      <x:c r="G12" s="110" t="str"/>
      <x:c r="H12" s="112" t="str"/>
      <x:c r="I12" s="112" t="str"/>
      <x:c r="J12" s="110" t="str"/>
      <x:c r="K12" s="110" t="str"/>
      <x:c r="L12" s="110" t="str"/>
      <x:c r="M12" s="110" t="str"/>
      <x:c r="N12" s="110" t="str"/>
      <x:c r="O12" s="110" t="str"/>
      <x:c r="P12" s="110" t="str"/>
      <x:c r="Q12" s="110" t="str"/>
    </x:row>
    <x:row r="13" ht="32" customHeight="1">
      <x:c r="A13" s="110" t="str"/>
      <x:c r="B13" s="110" t="str"/>
      <x:c r="C13" s="110" t="str"/>
      <x:c r="D13" s="110" t="str"/>
      <x:c r="E13" s="110" t="str"/>
      <x:c r="F13" s="110" t="str"/>
      <x:c r="G13" s="110" t="str"/>
      <x:c r="H13" s="112" t="str"/>
      <x:c r="I13" s="112" t="str"/>
      <x:c r="J13" s="110" t="str"/>
      <x:c r="K13" s="110" t="str"/>
      <x:c r="L13" s="110" t="str"/>
      <x:c r="M13" s="110" t="str"/>
      <x:c r="N13" s="110" t="str"/>
      <x:c r="O13" s="110" t="str"/>
      <x:c r="P13" s="110" t="str"/>
      <x:c r="Q13" s="110" t="str"/>
    </x:row>
    <x:row r="14" ht="32" customHeight="1">
      <x:c r="A14" s="110" t="str"/>
      <x:c r="B14" s="110" t="str"/>
      <x:c r="C14" s="110" t="str"/>
      <x:c r="D14" s="110" t="str"/>
      <x:c r="E14" s="110" t="str"/>
      <x:c r="F14" s="110" t="str"/>
      <x:c r="G14" s="110" t="str"/>
      <x:c r="H14" s="112" t="str"/>
      <x:c r="I14" s="112" t="str"/>
      <x:c r="J14" s="110" t="str"/>
      <x:c r="K14" s="110" t="str"/>
      <x:c r="L14" s="110" t="str"/>
      <x:c r="M14" s="110" t="str"/>
      <x:c r="N14" s="110" t="str"/>
      <x:c r="O14" s="110" t="str"/>
      <x:c r="P14" s="110" t="str"/>
      <x:c r="Q14" s="110" t="str"/>
    </x:row>
    <x:row r="15" ht="32" customHeight="1">
      <x:c r="A15" s="110" t="str"/>
      <x:c r="B15" s="110" t="str"/>
      <x:c r="C15" s="110" t="str"/>
      <x:c r="D15" s="110" t="str"/>
      <x:c r="E15" s="110" t="str"/>
      <x:c r="F15" s="110" t="str"/>
      <x:c r="G15" s="110" t="str"/>
      <x:c r="H15" s="112" t="str"/>
      <x:c r="I15" s="112" t="str"/>
      <x:c r="J15" s="110" t="str"/>
      <x:c r="K15" s="110" t="str"/>
      <x:c r="L15" s="110" t="str"/>
      <x:c r="M15" s="110" t="str"/>
      <x:c r="N15" s="110" t="str"/>
      <x:c r="O15" s="110" t="str"/>
      <x:c r="P15" s="110" t="str"/>
      <x:c r="Q15" s="110" t="str"/>
    </x:row>
    <x:row r="16" ht="32" customHeight="1">
      <x:c r="A16" s="110" t="str"/>
      <x:c r="B16" s="110" t="str"/>
      <x:c r="C16" s="110" t="str"/>
      <x:c r="D16" s="110" t="str"/>
      <x:c r="E16" s="110" t="str"/>
      <x:c r="F16" s="110" t="str"/>
      <x:c r="G16" s="110" t="str"/>
      <x:c r="H16" s="112" t="str"/>
      <x:c r="I16" s="112" t="str"/>
      <x:c r="J16" s="110" t="str"/>
      <x:c r="K16" s="110" t="str"/>
      <x:c r="L16" s="110" t="str"/>
      <x:c r="M16" s="110" t="str"/>
      <x:c r="N16" s="110" t="str"/>
      <x:c r="O16" s="110" t="str"/>
      <x:c r="P16" s="110" t="str"/>
      <x:c r="Q16" s="110" t="str"/>
    </x:row>
    <x:row r="17" ht="32" customHeight="1">
      <x:c r="A17" s="110" t="str"/>
      <x:c r="B17" s="110" t="str"/>
      <x:c r="C17" s="110" t="str"/>
      <x:c r="D17" s="110" t="str"/>
      <x:c r="E17" s="110" t="str"/>
      <x:c r="F17" s="110" t="str"/>
      <x:c r="G17" s="110" t="str"/>
      <x:c r="H17" s="112" t="str"/>
      <x:c r="I17" s="112" t="str"/>
      <x:c r="J17" s="110" t="str"/>
      <x:c r="K17" s="110" t="str"/>
      <x:c r="L17" s="110" t="str"/>
      <x:c r="M17" s="110" t="str"/>
      <x:c r="N17" s="110" t="str"/>
      <x:c r="O17" s="110" t="str"/>
      <x:c r="P17" s="110" t="str"/>
      <x:c r="Q17" s="110" t="str"/>
    </x:row>
    <x:row r="18" ht="32" customHeight="1">
      <x:c r="A18" s="110" t="str"/>
      <x:c r="B18" s="110" t="str"/>
      <x:c r="C18" s="110" t="str"/>
      <x:c r="D18" s="110" t="str"/>
      <x:c r="E18" s="110" t="str"/>
      <x:c r="F18" s="110" t="str"/>
      <x:c r="G18" s="110" t="str"/>
      <x:c r="H18" s="112" t="str"/>
      <x:c r="I18" s="112" t="str"/>
      <x:c r="J18" s="110" t="str"/>
      <x:c r="K18" s="110" t="str"/>
      <x:c r="L18" s="110" t="str"/>
      <x:c r="M18" s="110" t="str"/>
      <x:c r="N18" s="110" t="str"/>
      <x:c r="O18" s="110" t="str"/>
      <x:c r="P18" s="110" t="str"/>
      <x:c r="Q18" s="110" t="str"/>
    </x:row>
    <x:row r="19" ht="32" customHeight="1">
      <x:c r="A19" s="110" t="str"/>
      <x:c r="B19" s="110" t="str"/>
      <x:c r="C19" s="110" t="str"/>
      <x:c r="D19" s="110" t="str"/>
      <x:c r="E19" s="110" t="str"/>
      <x:c r="F19" s="110" t="str"/>
      <x:c r="G19" s="110" t="str"/>
      <x:c r="H19" s="112" t="str"/>
      <x:c r="I19" s="112" t="str"/>
      <x:c r="J19" s="110" t="str"/>
      <x:c r="K19" s="110" t="str"/>
      <x:c r="L19" s="110" t="str"/>
      <x:c r="M19" s="110" t="str"/>
      <x:c r="N19" s="110" t="str"/>
      <x:c r="O19" s="110" t="str"/>
      <x:c r="P19" s="110" t="str"/>
      <x:c r="Q19" s="110" t="str"/>
    </x:row>
    <x:row r="20" ht="32" customHeight="1">
      <x:c r="A20" s="110" t="str"/>
      <x:c r="B20" s="110" t="str"/>
      <x:c r="C20" s="110" t="str"/>
      <x:c r="D20" s="110" t="str"/>
      <x:c r="E20" s="110" t="str"/>
      <x:c r="F20" s="110" t="str"/>
      <x:c r="G20" s="110" t="str"/>
      <x:c r="H20" s="112" t="str"/>
      <x:c r="I20" s="112" t="str"/>
      <x:c r="J20" s="110" t="str"/>
      <x:c r="K20" s="110" t="str"/>
      <x:c r="L20" s="110" t="str"/>
      <x:c r="M20" s="110" t="str"/>
      <x:c r="N20" s="110" t="str"/>
      <x:c r="O20" s="110" t="str"/>
      <x:c r="P20" s="110" t="str"/>
      <x:c r="Q20" s="110" t="str"/>
    </x:row>
    <x:row r="21" ht="32" customHeight="1">
      <x:c r="A21" s="110" t="str"/>
      <x:c r="B21" s="110" t="str"/>
      <x:c r="C21" s="110" t="str"/>
      <x:c r="D21" s="110" t="str"/>
      <x:c r="E21" s="110" t="str"/>
      <x:c r="F21" s="110" t="str"/>
      <x:c r="G21" s="110" t="str"/>
      <x:c r="H21" s="112" t="str"/>
      <x:c r="I21" s="112" t="str"/>
      <x:c r="J21" s="110" t="str"/>
      <x:c r="K21" s="110" t="str"/>
      <x:c r="L21" s="110" t="str"/>
      <x:c r="M21" s="110" t="str"/>
      <x:c r="N21" s="110" t="str"/>
      <x:c r="O21" s="110" t="str"/>
      <x:c r="P21" s="110" t="str"/>
      <x:c r="Q21" s="110" t="str"/>
    </x:row>
    <x:row r="22" ht="32" customHeight="1">
      <x:c r="A22" s="110" t="str"/>
      <x:c r="B22" s="110" t="str"/>
      <x:c r="C22" s="110" t="str"/>
      <x:c r="D22" s="110" t="str"/>
      <x:c r="E22" s="110" t="str"/>
      <x:c r="F22" s="110" t="str"/>
      <x:c r="G22" s="110" t="str"/>
      <x:c r="H22" s="112" t="str"/>
      <x:c r="I22" s="112" t="str"/>
      <x:c r="J22" s="110" t="str"/>
      <x:c r="K22" s="110" t="str"/>
      <x:c r="L22" s="110" t="str"/>
      <x:c r="M22" s="110" t="str"/>
      <x:c r="N22" s="110" t="str"/>
      <x:c r="O22" s="110" t="str"/>
      <x:c r="P22" s="110" t="str"/>
      <x:c r="Q22" s="110" t="str"/>
    </x:row>
    <x:row r="23" ht="32" customHeight="1">
      <x:c r="A23" s="110" t="str"/>
      <x:c r="B23" s="110" t="str"/>
      <x:c r="C23" s="110" t="str"/>
      <x:c r="D23" s="110" t="str"/>
      <x:c r="E23" s="110" t="str"/>
      <x:c r="F23" s="110" t="str"/>
      <x:c r="G23" s="110" t="str"/>
      <x:c r="H23" s="112" t="str"/>
      <x:c r="I23" s="112" t="str"/>
      <x:c r="J23" s="110" t="str"/>
      <x:c r="K23" s="110" t="str"/>
      <x:c r="L23" s="110" t="str"/>
      <x:c r="M23" s="110" t="str"/>
      <x:c r="N23" s="110" t="str"/>
      <x:c r="O23" s="110" t="str"/>
      <x:c r="P23" s="110" t="str"/>
      <x:c r="Q23" s="110" t="str"/>
    </x:row>
    <x:row r="24" ht="32" customHeight="1">
      <x:c r="A24" s="110" t="str"/>
      <x:c r="B24" s="110" t="str"/>
      <x:c r="C24" s="110" t="str"/>
      <x:c r="D24" s="110" t="str"/>
      <x:c r="E24" s="110" t="str"/>
      <x:c r="F24" s="110" t="str"/>
      <x:c r="G24" s="110" t="str"/>
      <x:c r="H24" s="112" t="str"/>
      <x:c r="I24" s="112" t="str"/>
      <x:c r="J24" s="110" t="str"/>
      <x:c r="K24" s="110" t="str"/>
      <x:c r="L24" s="110" t="str"/>
      <x:c r="M24" s="110" t="str"/>
      <x:c r="N24" s="110" t="str"/>
      <x:c r="O24" s="110" t="str"/>
      <x:c r="P24" s="110" t="str"/>
      <x:c r="Q24" s="110" t="str"/>
    </x:row>
    <x:row r="25" ht="32" customHeight="1">
      <x:c r="A25" s="110" t="str"/>
      <x:c r="B25" s="110" t="str"/>
      <x:c r="C25" s="110" t="str"/>
      <x:c r="D25" s="110" t="str"/>
      <x:c r="E25" s="110" t="str"/>
      <x:c r="F25" s="110" t="str"/>
      <x:c r="G25" s="110" t="str"/>
      <x:c r="H25" s="112" t="str"/>
      <x:c r="I25" s="112" t="str"/>
      <x:c r="J25" s="110" t="str"/>
      <x:c r="K25" s="110" t="str"/>
      <x:c r="L25" s="110" t="str"/>
      <x:c r="M25" s="110" t="str"/>
      <x:c r="N25" s="110" t="str"/>
      <x:c r="O25" s="110" t="str"/>
      <x:c r="P25" s="110" t="str"/>
      <x:c r="Q25" s="110" t="str"/>
    </x:row>
    <x:row r="26" ht="32" customHeight="1">
      <x:c r="A26" s="110" t="str"/>
      <x:c r="B26" s="110" t="str"/>
      <x:c r="C26" s="110" t="str"/>
      <x:c r="D26" s="110" t="str"/>
      <x:c r="E26" s="110" t="str"/>
      <x:c r="F26" s="110" t="str"/>
      <x:c r="G26" s="110" t="str"/>
      <x:c r="H26" s="112" t="str"/>
      <x:c r="I26" s="112" t="str"/>
      <x:c r="J26" s="110" t="str"/>
      <x:c r="K26" s="110" t="str"/>
      <x:c r="L26" s="110" t="str"/>
      <x:c r="M26" s="110" t="str"/>
      <x:c r="N26" s="110" t="str"/>
      <x:c r="O26" s="110" t="str"/>
      <x:c r="P26" s="110" t="str"/>
      <x:c r="Q26" s="110" t="str"/>
    </x:row>
    <x:row r="27" ht="32" customHeight="1">
      <x:c r="A27" s="110" t="str"/>
      <x:c r="B27" s="110" t="str"/>
      <x:c r="C27" s="110" t="str"/>
      <x:c r="D27" s="110" t="str"/>
      <x:c r="E27" s="110" t="str"/>
      <x:c r="F27" s="110" t="str"/>
      <x:c r="G27" s="110" t="str"/>
      <x:c r="H27" s="112" t="str"/>
      <x:c r="I27" s="112" t="str"/>
      <x:c r="J27" s="110" t="str"/>
      <x:c r="K27" s="110" t="str"/>
      <x:c r="L27" s="110" t="str"/>
      <x:c r="M27" s="110" t="str"/>
      <x:c r="N27" s="110" t="str"/>
      <x:c r="O27" s="110" t="str"/>
      <x:c r="P27" s="110" t="str"/>
      <x:c r="Q27" s="110" t="str"/>
    </x:row>
    <x:row r="28" ht="32" customHeight="1">
      <x:c r="A28" s="110" t="str"/>
      <x:c r="B28" s="110" t="str"/>
      <x:c r="C28" s="110" t="str"/>
      <x:c r="D28" s="110" t="str"/>
      <x:c r="E28" s="110" t="str"/>
      <x:c r="F28" s="110" t="str"/>
      <x:c r="G28" s="110" t="str"/>
      <x:c r="H28" s="112" t="str"/>
      <x:c r="I28" s="112" t="str"/>
      <x:c r="J28" s="110" t="str"/>
      <x:c r="K28" s="110" t="str"/>
      <x:c r="L28" s="110" t="str"/>
      <x:c r="M28" s="110" t="str"/>
      <x:c r="N28" s="110" t="str"/>
      <x:c r="O28" s="110" t="str"/>
      <x:c r="P28" s="110" t="str"/>
      <x:c r="Q28" s="110" t="str"/>
    </x:row>
    <x:row r="29" ht="32" customHeight="1">
      <x:c r="A29" s="110" t="str"/>
      <x:c r="B29" s="110" t="str"/>
      <x:c r="C29" s="110" t="str"/>
      <x:c r="D29" s="110" t="str"/>
      <x:c r="E29" s="110" t="str"/>
      <x:c r="F29" s="110" t="str"/>
      <x:c r="G29" s="110" t="str"/>
      <x:c r="H29" s="112" t="str"/>
      <x:c r="I29" s="112" t="str"/>
      <x:c r="J29" s="110" t="str"/>
      <x:c r="K29" s="110" t="str"/>
      <x:c r="L29" s="110" t="str"/>
      <x:c r="M29" s="110" t="str"/>
      <x:c r="N29" s="110" t="str"/>
      <x:c r="O29" s="110" t="str"/>
      <x:c r="P29" s="110" t="str"/>
      <x:c r="Q29" s="110" t="str"/>
    </x:row>
    <x:row r="30" ht="32" customHeight="1">
      <x:c r="A30" s="110" t="str"/>
      <x:c r="B30" s="110" t="str"/>
      <x:c r="C30" s="110" t="str"/>
      <x:c r="D30" s="110" t="str"/>
      <x:c r="E30" s="110" t="str"/>
      <x:c r="F30" s="110" t="str"/>
      <x:c r="G30" s="110" t="str"/>
      <x:c r="H30" s="112" t="str"/>
      <x:c r="I30" s="112" t="str"/>
      <x:c r="J30" s="110" t="str"/>
      <x:c r="K30" s="110" t="str"/>
      <x:c r="L30" s="110" t="str"/>
      <x:c r="M30" s="110" t="str"/>
      <x:c r="N30" s="110" t="str"/>
      <x:c r="O30" s="110" t="str"/>
      <x:c r="P30" s="110" t="str"/>
      <x:c r="Q30" s="110" t="str"/>
    </x:row>
    <x:row r="31" ht="32" customHeight="1">
      <x:c r="A31" s="110" t="str"/>
      <x:c r="B31" s="110" t="str"/>
      <x:c r="C31" s="110" t="str"/>
      <x:c r="D31" s="110" t="str"/>
      <x:c r="E31" s="110" t="str"/>
      <x:c r="F31" s="110" t="str"/>
      <x:c r="G31" s="110" t="str"/>
      <x:c r="H31" s="112" t="str"/>
      <x:c r="I31" s="112" t="str"/>
      <x:c r="J31" s="110" t="str"/>
      <x:c r="K31" s="110" t="str"/>
      <x:c r="L31" s="110" t="str"/>
      <x:c r="M31" s="110" t="str"/>
      <x:c r="N31" s="110" t="str"/>
      <x:c r="O31" s="110" t="str"/>
      <x:c r="P31" s="110" t="str"/>
      <x:c r="Q31" s="110" t="str"/>
    </x:row>
    <x:row r="32" ht="32" customHeight="1">
      <x:c r="A32" s="110" t="str"/>
      <x:c r="B32" s="110" t="str"/>
      <x:c r="C32" s="110" t="str"/>
      <x:c r="D32" s="110" t="str"/>
      <x:c r="E32" s="110" t="str"/>
      <x:c r="F32" s="110" t="str"/>
      <x:c r="G32" s="110" t="str"/>
      <x:c r="H32" s="112" t="str"/>
      <x:c r="I32" s="112" t="str"/>
      <x:c r="J32" s="110" t="str"/>
      <x:c r="K32" s="110" t="str"/>
      <x:c r="L32" s="110" t="str"/>
      <x:c r="M32" s="110" t="str"/>
      <x:c r="N32" s="110" t="str"/>
      <x:c r="O32" s="110" t="str"/>
      <x:c r="P32" s="110" t="str"/>
      <x:c r="Q32" s="110" t="str"/>
    </x:row>
    <x:row r="33" ht="32" customHeight="1">
      <x:c r="A33" s="110" t="str"/>
      <x:c r="B33" s="110" t="str"/>
      <x:c r="C33" s="110" t="str"/>
      <x:c r="D33" s="110" t="str"/>
      <x:c r="E33" s="110" t="str"/>
      <x:c r="F33" s="110" t="str"/>
      <x:c r="G33" s="110" t="str"/>
      <x:c r="H33" s="112" t="str"/>
      <x:c r="I33" s="112" t="str"/>
      <x:c r="J33" s="110" t="str"/>
      <x:c r="K33" s="110" t="str"/>
      <x:c r="L33" s="110" t="str"/>
      <x:c r="M33" s="110" t="str"/>
      <x:c r="N33" s="110" t="str"/>
      <x:c r="O33" s="110" t="str"/>
      <x:c r="P33" s="110" t="str"/>
      <x:c r="Q33" s="110" t="str"/>
    </x:row>
    <x:row r="34" ht="32" customHeight="1">
      <x:c r="A34" s="110" t="str"/>
      <x:c r="B34" s="110" t="str"/>
      <x:c r="C34" s="110" t="str"/>
      <x:c r="D34" s="110" t="str"/>
      <x:c r="E34" s="110" t="str"/>
      <x:c r="F34" s="110" t="str"/>
      <x:c r="G34" s="110" t="str"/>
      <x:c r="H34" s="112" t="str"/>
      <x:c r="I34" s="112" t="str"/>
      <x:c r="J34" s="110" t="str"/>
      <x:c r="K34" s="110" t="str"/>
      <x:c r="L34" s="110" t="str"/>
      <x:c r="M34" s="110" t="str"/>
      <x:c r="N34" s="110" t="str"/>
      <x:c r="O34" s="110" t="str"/>
      <x:c r="P34" s="110" t="str"/>
      <x:c r="Q34" s="110" t="str"/>
    </x:row>
    <x:row r="35" ht="32" customHeight="1">
      <x:c r="A35" s="110" t="str"/>
      <x:c r="B35" s="110" t="str"/>
      <x:c r="C35" s="110" t="str"/>
      <x:c r="D35" s="110" t="str"/>
      <x:c r="E35" s="110" t="str"/>
      <x:c r="F35" s="110" t="str"/>
      <x:c r="G35" s="110" t="str"/>
      <x:c r="H35" s="112" t="str"/>
      <x:c r="I35" s="112" t="str"/>
      <x:c r="J35" s="110" t="str"/>
      <x:c r="K35" s="110" t="str"/>
      <x:c r="L35" s="110" t="str"/>
      <x:c r="M35" s="110" t="str"/>
      <x:c r="N35" s="110" t="str"/>
      <x:c r="O35" s="110" t="str"/>
      <x:c r="P35" s="110" t="str"/>
      <x:c r="Q35" s="110" t="str"/>
    </x:row>
    <x:row r="36" ht="32" customHeight="1">
      <x:c r="A36" s="110" t="str"/>
      <x:c r="B36" s="110" t="str"/>
      <x:c r="C36" s="110" t="str"/>
      <x:c r="D36" s="110" t="str"/>
      <x:c r="E36" s="110" t="str"/>
      <x:c r="F36" s="110" t="str"/>
      <x:c r="G36" s="110" t="str"/>
      <x:c r="H36" s="112" t="str"/>
      <x:c r="I36" s="112" t="str"/>
      <x:c r="J36" s="110" t="str"/>
      <x:c r="K36" s="110" t="str"/>
      <x:c r="L36" s="110" t="str"/>
      <x:c r="M36" s="110" t="str"/>
      <x:c r="N36" s="110" t="str"/>
      <x:c r="O36" s="110" t="str"/>
      <x:c r="P36" s="110" t="str"/>
      <x:c r="Q36" s="110" t="str"/>
    </x:row>
    <x:row r="37" ht="32" customHeight="1">
      <x:c r="A37" s="110" t="str"/>
      <x:c r="B37" s="110" t="str"/>
      <x:c r="C37" s="110" t="str"/>
      <x:c r="D37" s="110" t="str"/>
      <x:c r="E37" s="110" t="str"/>
      <x:c r="F37" s="110" t="str"/>
      <x:c r="G37" s="110" t="str"/>
      <x:c r="H37" s="112" t="str"/>
      <x:c r="I37" s="112" t="str"/>
      <x:c r="J37" s="110" t="str"/>
      <x:c r="K37" s="110" t="str"/>
      <x:c r="L37" s="110" t="str"/>
      <x:c r="M37" s="110" t="str"/>
      <x:c r="N37" s="110" t="str"/>
      <x:c r="O37" s="110" t="str"/>
      <x:c r="P37" s="110" t="str"/>
      <x:c r="Q37" s="110" t="str"/>
    </x:row>
    <x:row r="38" ht="32" customHeight="1">
      <x:c r="A38" s="110" t="str"/>
      <x:c r="B38" s="110" t="str"/>
      <x:c r="C38" s="110" t="str"/>
      <x:c r="D38" s="110" t="str"/>
      <x:c r="E38" s="110" t="str"/>
      <x:c r="F38" s="110" t="str"/>
      <x:c r="G38" s="110" t="str"/>
      <x:c r="H38" s="112" t="str"/>
      <x:c r="I38" s="112" t="str"/>
      <x:c r="J38" s="110" t="str"/>
      <x:c r="K38" s="110" t="str"/>
      <x:c r="L38" s="110" t="str"/>
      <x:c r="M38" s="110" t="str"/>
      <x:c r="N38" s="110" t="str"/>
      <x:c r="O38" s="110" t="str"/>
      <x:c r="P38" s="110" t="str"/>
      <x:c r="Q38" s="110" t="str"/>
    </x:row>
    <x:row r="39" ht="32" customHeight="1">
      <x:c r="A39" s="110" t="str"/>
      <x:c r="B39" s="110" t="str"/>
      <x:c r="C39" s="110" t="str"/>
      <x:c r="D39" s="110" t="str"/>
      <x:c r="E39" s="110" t="str"/>
      <x:c r="F39" s="110" t="str"/>
      <x:c r="G39" s="110" t="str"/>
      <x:c r="H39" s="112" t="str"/>
      <x:c r="I39" s="112" t="str"/>
      <x:c r="J39" s="110" t="str"/>
      <x:c r="K39" s="110" t="str"/>
      <x:c r="L39" s="110" t="str"/>
      <x:c r="M39" s="110" t="str"/>
      <x:c r="N39" s="110" t="str"/>
      <x:c r="O39" s="110" t="str"/>
      <x:c r="P39" s="110" t="str"/>
      <x:c r="Q39" s="110" t="str"/>
    </x:row>
    <x:row r="40" ht="32" customHeight="1">
      <x:c r="A40" s="110" t="str"/>
      <x:c r="B40" s="110" t="str"/>
      <x:c r="C40" s="110" t="str"/>
      <x:c r="D40" s="110" t="str"/>
      <x:c r="E40" s="110" t="str"/>
      <x:c r="F40" s="110" t="str"/>
      <x:c r="G40" s="110" t="str"/>
      <x:c r="H40" s="112" t="str"/>
      <x:c r="I40" s="112" t="str"/>
      <x:c r="J40" s="110" t="str"/>
      <x:c r="K40" s="110" t="str"/>
      <x:c r="L40" s="110" t="str"/>
      <x:c r="M40" s="110" t="str"/>
      <x:c r="N40" s="110" t="str"/>
      <x:c r="O40" s="110" t="str"/>
      <x:c r="P40" s="110" t="str"/>
      <x:c r="Q40" s="110" t="str"/>
    </x:row>
    <x:row r="41" ht="32" customHeight="1">
      <x:c r="A41" s="110" t="str"/>
      <x:c r="B41" s="110" t="str"/>
      <x:c r="C41" s="110" t="str"/>
      <x:c r="D41" s="110" t="str"/>
      <x:c r="E41" s="110" t="str"/>
      <x:c r="F41" s="110" t="str"/>
      <x:c r="G41" s="110" t="str"/>
      <x:c r="H41" s="112" t="str"/>
      <x:c r="I41" s="112" t="str"/>
      <x:c r="J41" s="110" t="str"/>
      <x:c r="K41" s="110" t="str"/>
      <x:c r="L41" s="110" t="str"/>
      <x:c r="M41" s="110" t="str"/>
      <x:c r="N41" s="110" t="str"/>
      <x:c r="O41" s="110" t="str"/>
      <x:c r="P41" s="110" t="str"/>
      <x:c r="Q41" s="110" t="str"/>
    </x:row>
    <x:row r="42" ht="32" customHeight="1">
      <x:c r="A42" s="110" t="str"/>
      <x:c r="B42" s="110" t="str"/>
      <x:c r="C42" s="110" t="str"/>
      <x:c r="D42" s="110" t="str"/>
      <x:c r="E42" s="110" t="str"/>
      <x:c r="F42" s="110" t="str"/>
      <x:c r="G42" s="110" t="str"/>
      <x:c r="H42" s="112" t="str"/>
      <x:c r="I42" s="112" t="str"/>
      <x:c r="J42" s="110" t="str"/>
      <x:c r="K42" s="110" t="str"/>
      <x:c r="L42" s="110" t="str"/>
      <x:c r="M42" s="110" t="str"/>
      <x:c r="N42" s="110" t="str"/>
      <x:c r="O42" s="110" t="str"/>
      <x:c r="P42" s="110" t="str"/>
      <x:c r="Q42" s="110" t="str"/>
    </x:row>
    <x:row r="43" ht="32" customHeight="1">
      <x:c r="A43" s="110" t="str"/>
      <x:c r="B43" s="110" t="str"/>
      <x:c r="C43" s="110" t="str"/>
      <x:c r="D43" s="110" t="str"/>
      <x:c r="E43" s="110" t="str"/>
      <x:c r="F43" s="110" t="str"/>
      <x:c r="G43" s="110" t="str"/>
      <x:c r="H43" s="112" t="str"/>
      <x:c r="I43" s="112" t="str"/>
      <x:c r="J43" s="110" t="str"/>
      <x:c r="K43" s="110" t="str"/>
      <x:c r="L43" s="110" t="str"/>
      <x:c r="M43" s="110" t="str"/>
      <x:c r="N43" s="110" t="str"/>
      <x:c r="O43" s="110" t="str"/>
      <x:c r="P43" s="110" t="str"/>
      <x:c r="Q43" s="110" t="str"/>
    </x:row>
    <x:row r="44" ht="32" customHeight="1">
      <x:c r="A44" s="110" t="str"/>
      <x:c r="B44" s="110" t="str"/>
      <x:c r="C44" s="110" t="str"/>
      <x:c r="D44" s="110" t="str"/>
      <x:c r="E44" s="110" t="str"/>
      <x:c r="F44" s="110" t="str"/>
      <x:c r="G44" s="110" t="str"/>
      <x:c r="H44" s="112" t="str"/>
      <x:c r="I44" s="112" t="str"/>
      <x:c r="J44" s="110" t="str"/>
      <x:c r="K44" s="110" t="str"/>
      <x:c r="L44" s="110" t="str"/>
      <x:c r="M44" s="110" t="str"/>
      <x:c r="N44" s="110" t="str"/>
      <x:c r="O44" s="110" t="str"/>
      <x:c r="P44" s="110" t="str"/>
      <x:c r="Q44" s="110" t="str"/>
    </x:row>
    <x:row r="45" ht="32" customHeight="1">
      <x:c r="A45" s="110" t="str"/>
      <x:c r="B45" s="110" t="str"/>
      <x:c r="C45" s="110" t="str"/>
      <x:c r="D45" s="110" t="str"/>
      <x:c r="E45" s="110" t="str"/>
      <x:c r="F45" s="110" t="str"/>
      <x:c r="G45" s="110" t="str"/>
      <x:c r="H45" s="112" t="str"/>
      <x:c r="I45" s="112" t="str"/>
      <x:c r="J45" s="110" t="str"/>
      <x:c r="K45" s="110" t="str"/>
      <x:c r="L45" s="110" t="str"/>
      <x:c r="M45" s="110" t="str"/>
      <x:c r="N45" s="110" t="str"/>
      <x:c r="O45" s="110" t="str"/>
      <x:c r="P45" s="110" t="str"/>
      <x:c r="Q45" s="110" t="str"/>
    </x:row>
    <x:row r="46" ht="32" customHeight="1">
      <x:c r="A46" s="110" t="str"/>
      <x:c r="B46" s="110" t="str"/>
      <x:c r="C46" s="110" t="str"/>
      <x:c r="D46" s="110" t="str"/>
      <x:c r="E46" s="110" t="str"/>
      <x:c r="F46" s="110" t="str"/>
      <x:c r="G46" s="110" t="str"/>
      <x:c r="H46" s="112" t="str"/>
      <x:c r="I46" s="112" t="str"/>
      <x:c r="J46" s="110" t="str"/>
      <x:c r="K46" s="110" t="str"/>
      <x:c r="L46" s="110" t="str"/>
      <x:c r="M46" s="110" t="str"/>
      <x:c r="N46" s="110" t="str"/>
      <x:c r="O46" s="110" t="str"/>
      <x:c r="P46" s="110" t="str"/>
      <x:c r="Q46" s="110" t="str"/>
    </x:row>
    <x:row r="47" ht="32" customHeight="1">
      <x:c r="A47" s="110" t="str"/>
      <x:c r="B47" s="110" t="str"/>
      <x:c r="C47" s="110" t="str"/>
      <x:c r="D47" s="110" t="str"/>
      <x:c r="E47" s="110" t="str"/>
      <x:c r="F47" s="110" t="str"/>
      <x:c r="G47" s="110" t="str"/>
      <x:c r="H47" s="112" t="str"/>
      <x:c r="I47" s="112" t="str"/>
      <x:c r="J47" s="110" t="str"/>
      <x:c r="K47" s="110" t="str"/>
      <x:c r="L47" s="110" t="str"/>
      <x:c r="M47" s="110" t="str"/>
      <x:c r="N47" s="110" t="str"/>
      <x:c r="O47" s="110" t="str"/>
      <x:c r="P47" s="110" t="str"/>
      <x:c r="Q47" s="110" t="str"/>
    </x:row>
    <x:row r="48" ht="32" customHeight="1">
      <x:c r="A48" s="110" t="str"/>
      <x:c r="B48" s="110" t="str"/>
      <x:c r="C48" s="110" t="str"/>
      <x:c r="D48" s="110" t="str"/>
      <x:c r="E48" s="110" t="str"/>
      <x:c r="F48" s="110" t="str"/>
      <x:c r="G48" s="110" t="str"/>
      <x:c r="H48" s="112" t="str"/>
      <x:c r="I48" s="112" t="str"/>
      <x:c r="J48" s="110" t="str"/>
      <x:c r="K48" s="110" t="str"/>
      <x:c r="L48" s="110" t="str"/>
      <x:c r="M48" s="110" t="str"/>
      <x:c r="N48" s="110" t="str"/>
      <x:c r="O48" s="110" t="str"/>
      <x:c r="P48" s="110" t="str"/>
      <x:c r="Q48" s="110" t="str"/>
    </x:row>
    <x:row r="49" ht="32" customHeight="1">
      <x:c r="A49" s="110" t="str"/>
      <x:c r="B49" s="110" t="str"/>
      <x:c r="C49" s="110" t="str"/>
      <x:c r="D49" s="110" t="str"/>
      <x:c r="E49" s="110" t="str"/>
      <x:c r="F49" s="110" t="str"/>
      <x:c r="G49" s="110" t="str"/>
      <x:c r="H49" s="112" t="str"/>
      <x:c r="I49" s="112" t="str"/>
      <x:c r="J49" s="110" t="str"/>
      <x:c r="K49" s="110" t="str"/>
      <x:c r="L49" s="110" t="str"/>
      <x:c r="M49" s="110" t="str"/>
      <x:c r="N49" s="110" t="str"/>
      <x:c r="O49" s="110" t="str"/>
      <x:c r="P49" s="110" t="str"/>
      <x:c r="Q49" s="110" t="str"/>
    </x:row>
    <x:row r="50" ht="32" customHeight="1">
      <x:c r="A50" s="110" t="str"/>
      <x:c r="B50" s="110" t="str"/>
      <x:c r="C50" s="110" t="str"/>
      <x:c r="D50" s="110" t="str"/>
      <x:c r="E50" s="110" t="str"/>
      <x:c r="F50" s="110" t="str"/>
      <x:c r="G50" s="110" t="str"/>
      <x:c r="H50" s="112" t="str"/>
      <x:c r="I50" s="112" t="str"/>
      <x:c r="J50" s="110" t="str"/>
      <x:c r="K50" s="110" t="str"/>
      <x:c r="L50" s="110" t="str"/>
      <x:c r="M50" s="110" t="str"/>
      <x:c r="N50" s="110" t="str"/>
      <x:c r="O50" s="110" t="str"/>
      <x:c r="P50" s="110" t="str"/>
      <x:c r="Q50" s="110" t="str"/>
    </x:row>
    <x:row r="51" ht="32" customHeight="1">
      <x:c r="A51" s="110" t="str"/>
      <x:c r="B51" s="110" t="str"/>
      <x:c r="C51" s="110" t="str"/>
      <x:c r="D51" s="110" t="str"/>
      <x:c r="E51" s="110" t="str"/>
      <x:c r="F51" s="110" t="str"/>
      <x:c r="G51" s="110" t="str"/>
      <x:c r="H51" s="112" t="str"/>
      <x:c r="I51" s="112" t="str"/>
      <x:c r="J51" s="110" t="str"/>
      <x:c r="K51" s="110" t="str"/>
      <x:c r="L51" s="110" t="str"/>
      <x:c r="M51" s="110" t="str"/>
      <x:c r="N51" s="110" t="str"/>
      <x:c r="O51" s="110" t="str"/>
      <x:c r="P51" s="110" t="str"/>
      <x:c r="Q51" s="110" t="str"/>
    </x:row>
    <x:row r="52" ht="32" customHeight="1">
      <x:c r="A52" s="110" t="str"/>
      <x:c r="B52" s="110" t="str"/>
      <x:c r="C52" s="110" t="str"/>
      <x:c r="D52" s="110" t="str"/>
      <x:c r="E52" s="110" t="str"/>
      <x:c r="F52" s="110" t="str"/>
      <x:c r="G52" s="110" t="str"/>
      <x:c r="H52" s="112" t="str"/>
      <x:c r="I52" s="112" t="str"/>
      <x:c r="J52" s="110" t="str"/>
      <x:c r="K52" s="110" t="str"/>
      <x:c r="L52" s="110" t="str"/>
      <x:c r="M52" s="110" t="str"/>
      <x:c r="N52" s="110" t="str"/>
      <x:c r="O52" s="110" t="str"/>
      <x:c r="P52" s="110" t="str"/>
      <x:c r="Q52" s="110" t="str"/>
    </x:row>
    <x:row r="53" ht="32" customHeight="1">
      <x:c r="A53" s="110" t="str"/>
      <x:c r="B53" s="110" t="str"/>
      <x:c r="C53" s="110" t="str"/>
      <x:c r="D53" s="110" t="str"/>
      <x:c r="E53" s="110" t="str"/>
      <x:c r="F53" s="110" t="str"/>
      <x:c r="G53" s="110" t="str"/>
      <x:c r="H53" s="112" t="str"/>
      <x:c r="I53" s="112" t="str"/>
      <x:c r="J53" s="110" t="str"/>
      <x:c r="K53" s="110" t="str"/>
      <x:c r="L53" s="110" t="str"/>
      <x:c r="M53" s="110" t="str"/>
      <x:c r="N53" s="110" t="str"/>
      <x:c r="O53" s="110" t="str"/>
      <x:c r="P53" s="110" t="str"/>
      <x:c r="Q53" s="110" t="str"/>
    </x:row>
    <x:row r="54" ht="32" customHeight="1">
      <x:c r="A54" s="110" t="str"/>
      <x:c r="B54" s="110" t="str"/>
      <x:c r="C54" s="110" t="str"/>
      <x:c r="D54" s="110" t="str"/>
      <x:c r="E54" s="110" t="str"/>
      <x:c r="F54" s="110" t="str"/>
      <x:c r="G54" s="110" t="str"/>
      <x:c r="H54" s="112" t="str"/>
      <x:c r="I54" s="112" t="str"/>
      <x:c r="J54" s="110" t="str"/>
      <x:c r="K54" s="110" t="str"/>
      <x:c r="L54" s="110" t="str"/>
      <x:c r="M54" s="110" t="str"/>
      <x:c r="N54" s="110" t="str"/>
      <x:c r="O54" s="110" t="str"/>
      <x:c r="P54" s="110" t="str"/>
      <x:c r="Q54" s="110" t="str"/>
    </x:row>
    <x:row r="55" ht="32" customHeight="1">
      <x:c r="A55" s="110" t="str"/>
      <x:c r="B55" s="110" t="str"/>
      <x:c r="C55" s="110" t="str"/>
      <x:c r="D55" s="110" t="str"/>
      <x:c r="E55" s="110" t="str"/>
      <x:c r="F55" s="110" t="str"/>
      <x:c r="G55" s="110" t="str"/>
      <x:c r="H55" s="112" t="str"/>
      <x:c r="I55" s="112" t="str"/>
      <x:c r="J55" s="110" t="str"/>
      <x:c r="K55" s="110" t="str"/>
      <x:c r="L55" s="110" t="str"/>
      <x:c r="M55" s="110" t="str"/>
      <x:c r="N55" s="110" t="str"/>
      <x:c r="O55" s="110" t="str"/>
      <x:c r="P55" s="110" t="str"/>
      <x:c r="Q55" s="110" t="str"/>
    </x:row>
    <x:row r="56" ht="32" customHeight="1">
      <x:c r="A56" s="110" t="str"/>
      <x:c r="B56" s="110" t="str"/>
      <x:c r="C56" s="110" t="str"/>
      <x:c r="D56" s="110" t="str"/>
      <x:c r="E56" s="110" t="str"/>
      <x:c r="F56" s="110" t="str"/>
      <x:c r="G56" s="110" t="str"/>
      <x:c r="H56" s="112" t="str"/>
      <x:c r="I56" s="112" t="str"/>
      <x:c r="J56" s="110" t="str"/>
      <x:c r="K56" s="110" t="str"/>
      <x:c r="L56" s="110" t="str"/>
      <x:c r="M56" s="110" t="str"/>
      <x:c r="N56" s="110" t="str"/>
      <x:c r="O56" s="110" t="str"/>
      <x:c r="P56" s="110" t="str"/>
      <x:c r="Q56" s="110" t="str"/>
    </x:row>
    <x:row r="57" ht="32" customHeight="1">
      <x:c r="A57" s="110" t="str"/>
      <x:c r="B57" s="110" t="str"/>
      <x:c r="C57" s="110" t="str"/>
      <x:c r="D57" s="110" t="str"/>
      <x:c r="E57" s="110" t="str"/>
      <x:c r="F57" s="110" t="str"/>
      <x:c r="G57" s="110" t="str"/>
      <x:c r="H57" s="112" t="str"/>
      <x:c r="I57" s="112" t="str"/>
      <x:c r="J57" s="110" t="str"/>
      <x:c r="K57" s="110" t="str"/>
      <x:c r="L57" s="110" t="str"/>
      <x:c r="M57" s="110" t="str"/>
      <x:c r="N57" s="110" t="str"/>
      <x:c r="O57" s="110" t="str"/>
      <x:c r="P57" s="110" t="str"/>
      <x:c r="Q57" s="110" t="str"/>
    </x:row>
    <x:row r="58" ht="32" customHeight="1">
      <x:c r="A58" s="110" t="str"/>
      <x:c r="B58" s="110" t="str"/>
      <x:c r="C58" s="110" t="str"/>
      <x:c r="D58" s="110" t="str"/>
      <x:c r="E58" s="110" t="str"/>
      <x:c r="F58" s="110" t="str"/>
      <x:c r="G58" s="110" t="str"/>
      <x:c r="H58" s="112" t="str"/>
      <x:c r="I58" s="112" t="str"/>
      <x:c r="J58" s="110" t="str"/>
      <x:c r="K58" s="110" t="str"/>
      <x:c r="L58" s="110" t="str"/>
      <x:c r="M58" s="110" t="str"/>
      <x:c r="N58" s="110" t="str"/>
      <x:c r="O58" s="110" t="str"/>
      <x:c r="P58" s="110" t="str"/>
      <x:c r="Q58" s="110" t="str"/>
    </x:row>
    <x:row r="59" ht="32" customHeight="1">
      <x:c r="A59" s="110" t="str"/>
      <x:c r="B59" s="110" t="str"/>
      <x:c r="C59" s="110" t="str"/>
      <x:c r="D59" s="110" t="str"/>
      <x:c r="E59" s="110" t="str"/>
      <x:c r="F59" s="110" t="str"/>
      <x:c r="G59" s="110" t="str"/>
      <x:c r="H59" s="112" t="str"/>
      <x:c r="I59" s="112" t="str"/>
      <x:c r="J59" s="110" t="str"/>
      <x:c r="K59" s="110" t="str"/>
      <x:c r="L59" s="110" t="str"/>
      <x:c r="M59" s="110" t="str"/>
      <x:c r="N59" s="110" t="str"/>
      <x:c r="O59" s="110" t="str"/>
      <x:c r="P59" s="110" t="str"/>
      <x:c r="Q59" s="110" t="str"/>
    </x:row>
    <x:row r="60" ht="32" customHeight="1">
      <x:c r="A60" s="110" t="str"/>
      <x:c r="B60" s="110" t="str"/>
      <x:c r="C60" s="110" t="str"/>
      <x:c r="D60" s="110" t="str"/>
      <x:c r="E60" s="110" t="str"/>
      <x:c r="F60" s="110" t="str"/>
      <x:c r="G60" s="110" t="str"/>
      <x:c r="H60" s="112" t="str"/>
      <x:c r="I60" s="112" t="str"/>
      <x:c r="J60" s="110" t="str"/>
      <x:c r="K60" s="110" t="str"/>
      <x:c r="L60" s="110" t="str"/>
      <x:c r="M60" s="110" t="str"/>
      <x:c r="N60" s="110" t="str"/>
      <x:c r="O60" s="110" t="str"/>
      <x:c r="P60" s="110" t="str"/>
      <x:c r="Q60" s="110" t="str"/>
    </x:row>
    <x:row r="61" ht="32" customHeight="1">
      <x:c r="A61" s="110" t="str"/>
      <x:c r="B61" s="110" t="str"/>
      <x:c r="C61" s="110" t="str"/>
      <x:c r="D61" s="110" t="str"/>
      <x:c r="E61" s="110" t="str"/>
      <x:c r="F61" s="110" t="str"/>
      <x:c r="G61" s="110" t="str"/>
      <x:c r="H61" s="112" t="str"/>
      <x:c r="I61" s="112" t="str"/>
      <x:c r="J61" s="110" t="str"/>
      <x:c r="K61" s="110" t="str"/>
      <x:c r="L61" s="110" t="str"/>
      <x:c r="M61" s="110" t="str"/>
      <x:c r="N61" s="110" t="str"/>
      <x:c r="O61" s="110" t="str"/>
      <x:c r="P61" s="110" t="str"/>
      <x:c r="Q61" s="110" t="str"/>
    </x:row>
    <x:row r="62" ht="32" customHeight="1">
      <x:c r="A62" s="110" t="str"/>
      <x:c r="B62" s="110" t="str"/>
      <x:c r="C62" s="110" t="str"/>
      <x:c r="D62" s="110" t="str"/>
      <x:c r="E62" s="110" t="str"/>
      <x:c r="F62" s="110" t="str"/>
      <x:c r="G62" s="110" t="str"/>
      <x:c r="H62" s="112" t="str"/>
      <x:c r="I62" s="112" t="str"/>
      <x:c r="J62" s="110" t="str"/>
      <x:c r="K62" s="110" t="str"/>
      <x:c r="L62" s="110" t="str"/>
      <x:c r="M62" s="110" t="str"/>
      <x:c r="N62" s="110" t="str"/>
      <x:c r="O62" s="110" t="str"/>
      <x:c r="P62" s="110" t="str"/>
      <x:c r="Q62" s="110" t="str"/>
    </x:row>
    <x:row r="63" ht="32" customHeight="1">
      <x:c r="A63" s="110" t="str"/>
      <x:c r="B63" s="110" t="str"/>
      <x:c r="C63" s="110" t="str"/>
      <x:c r="D63" s="110" t="str"/>
      <x:c r="E63" s="110" t="str"/>
      <x:c r="F63" s="110" t="str"/>
      <x:c r="G63" s="110" t="str"/>
      <x:c r="H63" s="112" t="str"/>
      <x:c r="I63" s="112" t="str"/>
      <x:c r="J63" s="110" t="str"/>
      <x:c r="K63" s="110" t="str"/>
      <x:c r="L63" s="110" t="str"/>
      <x:c r="M63" s="110" t="str"/>
      <x:c r="N63" s="110" t="str"/>
      <x:c r="O63" s="110" t="str"/>
      <x:c r="P63" s="110" t="str"/>
      <x:c r="Q63" s="110" t="str"/>
    </x:row>
    <x:row r="64" ht="32" customHeight="1">
      <x:c r="A64" s="110" t="str"/>
      <x:c r="B64" s="110" t="str"/>
      <x:c r="C64" s="110" t="str"/>
      <x:c r="D64" s="110" t="str"/>
      <x:c r="E64" s="110" t="str"/>
      <x:c r="F64" s="110" t="str"/>
      <x:c r="G64" s="110" t="str"/>
      <x:c r="H64" s="112" t="str"/>
      <x:c r="I64" s="112" t="str"/>
      <x:c r="J64" s="110" t="str"/>
      <x:c r="K64" s="110" t="str"/>
      <x:c r="L64" s="110" t="str"/>
      <x:c r="M64" s="110" t="str"/>
      <x:c r="N64" s="110" t="str"/>
      <x:c r="O64" s="110" t="str"/>
      <x:c r="P64" s="110" t="str"/>
      <x:c r="Q64" s="110" t="str"/>
    </x:row>
    <x:row r="65" ht="32" customHeight="1">
      <x:c r="A65" s="110" t="str"/>
      <x:c r="B65" s="110" t="str"/>
      <x:c r="C65" s="110" t="str"/>
      <x:c r="D65" s="110" t="str"/>
      <x:c r="E65" s="110" t="str"/>
      <x:c r="F65" s="110" t="str"/>
      <x:c r="G65" s="110" t="str"/>
      <x:c r="H65" s="112" t="str"/>
      <x:c r="I65" s="112" t="str"/>
      <x:c r="J65" s="110" t="str"/>
      <x:c r="K65" s="110" t="str"/>
      <x:c r="L65" s="110" t="str"/>
      <x:c r="M65" s="110" t="str"/>
      <x:c r="N65" s="110" t="str"/>
      <x:c r="O65" s="110" t="str"/>
      <x:c r="P65" s="110" t="str"/>
      <x:c r="Q65" s="110" t="str"/>
    </x:row>
    <x:row r="66" ht="32" customHeight="1">
      <x:c r="A66" s="110" t="str"/>
      <x:c r="B66" s="110" t="str"/>
      <x:c r="C66" s="110" t="str"/>
      <x:c r="D66" s="110" t="str"/>
      <x:c r="E66" s="110" t="str"/>
      <x:c r="F66" s="110" t="str"/>
      <x:c r="G66" s="110" t="str"/>
      <x:c r="H66" s="112" t="str"/>
      <x:c r="I66" s="112" t="str"/>
      <x:c r="J66" s="110" t="str"/>
      <x:c r="K66" s="110" t="str"/>
      <x:c r="L66" s="110" t="str"/>
      <x:c r="M66" s="110" t="str"/>
      <x:c r="N66" s="110" t="str"/>
      <x:c r="O66" s="110" t="str"/>
      <x:c r="P66" s="110" t="str"/>
      <x:c r="Q66" s="110" t="str"/>
    </x:row>
    <x:row r="67" ht="32" customHeight="1">
      <x:c r="A67" s="110" t="str"/>
      <x:c r="B67" s="110" t="str"/>
      <x:c r="C67" s="110" t="str"/>
      <x:c r="D67" s="110" t="str"/>
      <x:c r="E67" s="110" t="str"/>
      <x:c r="F67" s="110" t="str"/>
      <x:c r="G67" s="110" t="str"/>
      <x:c r="H67" s="112" t="str"/>
      <x:c r="I67" s="112" t="str"/>
      <x:c r="J67" s="110" t="str"/>
      <x:c r="K67" s="110" t="str"/>
      <x:c r="L67" s="110" t="str"/>
      <x:c r="M67" s="110" t="str"/>
      <x:c r="N67" s="110" t="str"/>
      <x:c r="O67" s="110" t="str"/>
      <x:c r="P67" s="110" t="str"/>
      <x:c r="Q67" s="110" t="str"/>
    </x:row>
    <x:row r="68" ht="32" customHeight="1">
      <x:c r="A68" s="110" t="str"/>
      <x:c r="B68" s="110" t="str"/>
      <x:c r="C68" s="110" t="str"/>
      <x:c r="D68" s="110" t="str"/>
      <x:c r="E68" s="110" t="str"/>
      <x:c r="F68" s="110" t="str"/>
      <x:c r="G68" s="110" t="str"/>
      <x:c r="H68" s="112" t="str"/>
      <x:c r="I68" s="112" t="str"/>
      <x:c r="J68" s="110" t="str"/>
      <x:c r="K68" s="110" t="str"/>
      <x:c r="L68" s="110" t="str"/>
      <x:c r="M68" s="110" t="str"/>
      <x:c r="N68" s="110" t="str"/>
      <x:c r="O68" s="110" t="str"/>
      <x:c r="P68" s="110" t="str"/>
      <x:c r="Q68" s="110" t="str"/>
    </x:row>
    <x:row r="69" ht="32" customHeight="1">
      <x:c r="A69" s="110" t="str"/>
      <x:c r="B69" s="110" t="str"/>
      <x:c r="C69" s="110" t="str"/>
      <x:c r="D69" s="110" t="str"/>
      <x:c r="E69" s="110" t="str"/>
      <x:c r="F69" s="110" t="str"/>
      <x:c r="G69" s="110" t="str"/>
      <x:c r="H69" s="112" t="str"/>
      <x:c r="I69" s="112" t="str"/>
      <x:c r="J69" s="110" t="str"/>
      <x:c r="K69" s="110" t="str"/>
      <x:c r="L69" s="110" t="str"/>
      <x:c r="M69" s="110" t="str"/>
      <x:c r="N69" s="110" t="str"/>
      <x:c r="O69" s="110" t="str"/>
      <x:c r="P69" s="110" t="str"/>
      <x:c r="Q69" s="110" t="str"/>
    </x:row>
    <x:row r="70" ht="32" customHeight="1">
      <x:c r="A70" s="110" t="str"/>
      <x:c r="B70" s="110" t="str"/>
      <x:c r="C70" s="110" t="str"/>
      <x:c r="D70" s="110" t="str"/>
      <x:c r="E70" s="110" t="str"/>
      <x:c r="F70" s="110" t="str"/>
      <x:c r="G70" s="110" t="str"/>
      <x:c r="H70" s="112" t="str"/>
      <x:c r="I70" s="112" t="str"/>
      <x:c r="J70" s="110" t="str"/>
      <x:c r="K70" s="110" t="str"/>
      <x:c r="L70" s="110" t="str"/>
      <x:c r="M70" s="110" t="str"/>
      <x:c r="N70" s="110" t="str"/>
      <x:c r="O70" s="110" t="str"/>
      <x:c r="P70" s="110" t="str"/>
      <x:c r="Q70" s="110" t="str"/>
    </x:row>
    <x:row r="71" ht="32" customHeight="1">
      <x:c r="A71" s="110" t="str"/>
      <x:c r="B71" s="110" t="str"/>
      <x:c r="C71" s="110" t="str"/>
      <x:c r="D71" s="110" t="str"/>
      <x:c r="E71" s="110" t="str"/>
      <x:c r="F71" s="110" t="str"/>
      <x:c r="G71" s="110" t="str"/>
      <x:c r="H71" s="112" t="str"/>
      <x:c r="I71" s="112" t="str"/>
      <x:c r="J71" s="110" t="str"/>
      <x:c r="K71" s="110" t="str"/>
      <x:c r="L71" s="110" t="str"/>
      <x:c r="M71" s="110" t="str"/>
      <x:c r="N71" s="110" t="str"/>
      <x:c r="O71" s="110" t="str"/>
      <x:c r="P71" s="110" t="str"/>
      <x:c r="Q71" s="110" t="str"/>
    </x:row>
    <x:row r="72" ht="32" customHeight="1">
      <x:c r="A72" s="110" t="str"/>
      <x:c r="B72" s="110" t="str"/>
      <x:c r="C72" s="110" t="str"/>
      <x:c r="D72" s="110" t="str"/>
      <x:c r="E72" s="110" t="str"/>
      <x:c r="F72" s="110" t="str"/>
      <x:c r="G72" s="110" t="str"/>
      <x:c r="H72" s="112" t="str"/>
      <x:c r="I72" s="112" t="str"/>
      <x:c r="J72" s="110" t="str"/>
      <x:c r="K72" s="110" t="str"/>
      <x:c r="L72" s="110" t="str"/>
      <x:c r="M72" s="110" t="str"/>
      <x:c r="N72" s="110" t="str"/>
      <x:c r="O72" s="110" t="str"/>
      <x:c r="P72" s="110" t="str"/>
      <x:c r="Q72" s="110" t="str"/>
    </x:row>
    <x:row r="73" ht="32" customHeight="1">
      <x:c r="A73" s="110" t="str"/>
      <x:c r="B73" s="110" t="str"/>
      <x:c r="C73" s="110" t="str"/>
      <x:c r="D73" s="110" t="str"/>
      <x:c r="E73" s="110" t="str"/>
      <x:c r="F73" s="110" t="str"/>
      <x:c r="G73" s="110" t="str"/>
      <x:c r="H73" s="112" t="str"/>
      <x:c r="I73" s="112" t="str"/>
      <x:c r="J73" s="110" t="str"/>
      <x:c r="K73" s="110" t="str"/>
      <x:c r="L73" s="110" t="str"/>
      <x:c r="M73" s="110" t="str"/>
      <x:c r="N73" s="110" t="str"/>
      <x:c r="O73" s="110" t="str"/>
      <x:c r="P73" s="110" t="str"/>
      <x:c r="Q73" s="110" t="str"/>
    </x:row>
    <x:row r="74" ht="32" customHeight="1">
      <x:c r="A74" s="110" t="str"/>
      <x:c r="B74" s="110" t="str"/>
      <x:c r="C74" s="110" t="str"/>
      <x:c r="D74" s="110" t="str"/>
      <x:c r="E74" s="110" t="str"/>
      <x:c r="F74" s="110" t="str"/>
      <x:c r="G74" s="110" t="str"/>
      <x:c r="H74" s="112" t="str"/>
      <x:c r="I74" s="112" t="str"/>
      <x:c r="J74" s="110" t="str"/>
      <x:c r="K74" s="110" t="str"/>
      <x:c r="L74" s="110" t="str"/>
      <x:c r="M74" s="110" t="str"/>
      <x:c r="N74" s="110" t="str"/>
      <x:c r="O74" s="110" t="str"/>
      <x:c r="P74" s="110" t="str"/>
      <x:c r="Q74" s="110" t="str"/>
    </x:row>
    <x:row r="75" ht="32" customHeight="1">
      <x:c r="A75" s="110" t="str"/>
      <x:c r="B75" s="110" t="str"/>
      <x:c r="C75" s="110" t="str"/>
      <x:c r="D75" s="110" t="str"/>
      <x:c r="E75" s="110" t="str"/>
      <x:c r="F75" s="110" t="str"/>
      <x:c r="G75" s="110" t="str"/>
      <x:c r="H75" s="112" t="str"/>
      <x:c r="I75" s="112" t="str"/>
      <x:c r="J75" s="110" t="str"/>
      <x:c r="K75" s="110" t="str"/>
      <x:c r="L75" s="110" t="str"/>
      <x:c r="M75" s="110" t="str"/>
      <x:c r="N75" s="110" t="str"/>
      <x:c r="O75" s="110" t="str"/>
      <x:c r="P75" s="110" t="str"/>
      <x:c r="Q75" s="110" t="str"/>
    </x:row>
    <x:row r="76" ht="32" customHeight="1">
      <x:c r="A76" s="110" t="str"/>
      <x:c r="B76" s="110" t="str"/>
      <x:c r="C76" s="110" t="str"/>
      <x:c r="D76" s="110" t="str"/>
      <x:c r="E76" s="110" t="str"/>
      <x:c r="F76" s="110" t="str"/>
      <x:c r="G76" s="110" t="str"/>
      <x:c r="H76" s="112" t="str"/>
      <x:c r="I76" s="112" t="str"/>
      <x:c r="J76" s="110" t="str"/>
      <x:c r="K76" s="110" t="str"/>
      <x:c r="L76" s="110" t="str"/>
      <x:c r="M76" s="110" t="str"/>
      <x:c r="N76" s="110" t="str"/>
      <x:c r="O76" s="110" t="str"/>
      <x:c r="P76" s="110" t="str"/>
      <x:c r="Q76" s="110" t="str"/>
    </x:row>
    <x:row r="77" ht="32" customHeight="1">
      <x:c r="A77" s="110" t="str"/>
      <x:c r="B77" s="110" t="str"/>
      <x:c r="C77" s="110" t="str"/>
      <x:c r="D77" s="110" t="str"/>
      <x:c r="E77" s="110" t="str"/>
      <x:c r="F77" s="110" t="str"/>
      <x:c r="G77" s="110" t="str"/>
      <x:c r="H77" s="112" t="str"/>
      <x:c r="I77" s="112" t="str"/>
      <x:c r="J77" s="110" t="str"/>
      <x:c r="K77" s="110" t="str"/>
      <x:c r="L77" s="110" t="str"/>
      <x:c r="M77" s="110" t="str"/>
      <x:c r="N77" s="110" t="str"/>
      <x:c r="O77" s="110" t="str"/>
      <x:c r="P77" s="110" t="str"/>
      <x:c r="Q77" s="110" t="str"/>
    </x:row>
    <x:row r="78" ht="32" customHeight="1">
      <x:c r="A78" s="110" t="str"/>
      <x:c r="B78" s="110" t="str"/>
      <x:c r="C78" s="110" t="str"/>
      <x:c r="D78" s="110" t="str"/>
      <x:c r="E78" s="110" t="str"/>
      <x:c r="F78" s="110" t="str"/>
      <x:c r="G78" s="110" t="str"/>
      <x:c r="H78" s="112" t="str"/>
      <x:c r="I78" s="112" t="str"/>
      <x:c r="J78" s="110" t="str"/>
      <x:c r="K78" s="110" t="str"/>
      <x:c r="L78" s="110" t="str"/>
      <x:c r="M78" s="110" t="str"/>
      <x:c r="N78" s="110" t="str"/>
      <x:c r="O78" s="110" t="str"/>
      <x:c r="P78" s="110" t="str"/>
      <x:c r="Q78" s="110" t="str"/>
    </x:row>
    <x:row r="79" ht="32" customHeight="1">
      <x:c r="A79" s="110" t="str"/>
      <x:c r="B79" s="110" t="str"/>
      <x:c r="C79" s="110" t="str"/>
      <x:c r="D79" s="110" t="str"/>
      <x:c r="E79" s="110" t="str"/>
      <x:c r="F79" s="110" t="str"/>
      <x:c r="G79" s="110" t="str"/>
      <x:c r="H79" s="112" t="str"/>
      <x:c r="I79" s="112" t="str"/>
      <x:c r="J79" s="110" t="str"/>
      <x:c r="K79" s="110" t="str"/>
      <x:c r="L79" s="110" t="str"/>
      <x:c r="M79" s="110" t="str"/>
      <x:c r="N79" s="110" t="str"/>
      <x:c r="O79" s="110" t="str"/>
      <x:c r="P79" s="110" t="str"/>
      <x:c r="Q79" s="110" t="str"/>
    </x:row>
    <x:row r="80" ht="32" customHeight="1">
      <x:c r="A80" s="110" t="str"/>
      <x:c r="B80" s="110" t="str"/>
      <x:c r="C80" s="110" t="str"/>
      <x:c r="D80" s="110" t="str"/>
      <x:c r="E80" s="110" t="str"/>
      <x:c r="F80" s="110" t="str"/>
      <x:c r="G80" s="110" t="str"/>
      <x:c r="H80" s="112" t="str"/>
      <x:c r="I80" s="112" t="str"/>
      <x:c r="J80" s="110" t="str"/>
      <x:c r="K80" s="110" t="str"/>
      <x:c r="L80" s="110" t="str"/>
      <x:c r="M80" s="110" t="str"/>
      <x:c r="N80" s="110" t="str"/>
      <x:c r="O80" s="110" t="str"/>
      <x:c r="P80" s="110" t="str"/>
      <x:c r="Q80" s="110" t="str"/>
    </x:row>
    <x:row r="81" ht="32" customHeight="1">
      <x:c r="A81" s="110" t="str"/>
      <x:c r="B81" s="110" t="str"/>
      <x:c r="C81" s="110" t="str"/>
      <x:c r="D81" s="110" t="str"/>
      <x:c r="E81" s="110" t="str"/>
      <x:c r="F81" s="110" t="str"/>
      <x:c r="G81" s="110" t="str"/>
      <x:c r="H81" s="112" t="str"/>
      <x:c r="I81" s="112" t="str"/>
      <x:c r="J81" s="110" t="str"/>
      <x:c r="K81" s="110" t="str"/>
      <x:c r="L81" s="110" t="str"/>
      <x:c r="M81" s="110" t="str"/>
      <x:c r="N81" s="110" t="str"/>
      <x:c r="O81" s="110" t="str"/>
      <x:c r="P81" s="110" t="str"/>
      <x:c r="Q81" s="110" t="str"/>
    </x:row>
    <x:row r="82" ht="32" customHeight="1">
      <x:c r="A82" s="110" t="str"/>
      <x:c r="B82" s="110" t="str"/>
      <x:c r="C82" s="110" t="str"/>
      <x:c r="D82" s="110" t="str"/>
      <x:c r="E82" s="110" t="str"/>
      <x:c r="F82" s="110" t="str"/>
      <x:c r="G82" s="110" t="str"/>
      <x:c r="H82" s="112" t="str"/>
      <x:c r="I82" s="112" t="str"/>
      <x:c r="J82" s="110" t="str"/>
      <x:c r="K82" s="110" t="str"/>
      <x:c r="L82" s="110" t="str"/>
      <x:c r="M82" s="110" t="str"/>
      <x:c r="N82" s="110" t="str"/>
      <x:c r="O82" s="110" t="str"/>
      <x:c r="P82" s="110" t="str"/>
      <x:c r="Q82" s="110" t="str"/>
    </x:row>
    <x:row r="83" ht="32" customHeight="1">
      <x:c r="A83" s="110" t="str"/>
      <x:c r="B83" s="110" t="str"/>
      <x:c r="C83" s="110" t="str"/>
      <x:c r="D83" s="110" t="str"/>
      <x:c r="E83" s="110" t="str"/>
      <x:c r="F83" s="110" t="str"/>
      <x:c r="G83" s="110" t="str"/>
      <x:c r="H83" s="112" t="str"/>
      <x:c r="I83" s="112" t="str"/>
      <x:c r="J83" s="110" t="str"/>
      <x:c r="K83" s="110" t="str"/>
      <x:c r="L83" s="110" t="str"/>
      <x:c r="M83" s="110" t="str"/>
      <x:c r="N83" s="110" t="str"/>
      <x:c r="O83" s="110" t="str"/>
      <x:c r="P83" s="110" t="str"/>
      <x:c r="Q83" s="110" t="str"/>
    </x:row>
    <x:row r="84" ht="32" customHeight="1">
      <x:c r="A84" s="110" t="str"/>
      <x:c r="B84" s="110" t="str"/>
      <x:c r="C84" s="110" t="str"/>
      <x:c r="D84" s="110" t="str"/>
      <x:c r="E84" s="110" t="str"/>
      <x:c r="F84" s="110" t="str"/>
      <x:c r="G84" s="110" t="str"/>
      <x:c r="H84" s="112" t="str"/>
      <x:c r="I84" s="112" t="str"/>
      <x:c r="J84" s="110" t="str"/>
      <x:c r="K84" s="110" t="str"/>
      <x:c r="L84" s="110" t="str"/>
      <x:c r="M84" s="110" t="str"/>
      <x:c r="N84" s="110" t="str"/>
      <x:c r="O84" s="110" t="str"/>
      <x:c r="P84" s="110" t="str"/>
      <x:c r="Q84" s="110" t="str"/>
    </x:row>
    <x:row r="85" ht="32" customHeight="1">
      <x:c r="A85" s="110" t="str"/>
      <x:c r="B85" s="110" t="str"/>
      <x:c r="C85" s="110" t="str"/>
      <x:c r="D85" s="110" t="str"/>
      <x:c r="E85" s="110" t="str"/>
      <x:c r="F85" s="110" t="str"/>
      <x:c r="G85" s="110" t="str"/>
      <x:c r="H85" s="112" t="str"/>
      <x:c r="I85" s="112" t="str"/>
      <x:c r="J85" s="110" t="str"/>
      <x:c r="K85" s="110" t="str"/>
      <x:c r="L85" s="110" t="str"/>
      <x:c r="M85" s="110" t="str"/>
      <x:c r="N85" s="110" t="str"/>
      <x:c r="O85" s="110" t="str"/>
      <x:c r="P85" s="110" t="str"/>
      <x:c r="Q85" s="110" t="str"/>
    </x:row>
    <x:row r="86" ht="32" customHeight="1">
      <x:c r="A86" s="110" t="str"/>
      <x:c r="B86" s="110" t="str"/>
      <x:c r="C86" s="110" t="str"/>
      <x:c r="D86" s="110" t="str"/>
      <x:c r="E86" s="110" t="str"/>
      <x:c r="F86" s="110" t="str"/>
      <x:c r="G86" s="110" t="str"/>
      <x:c r="H86" s="112" t="str"/>
      <x:c r="I86" s="112" t="str"/>
      <x:c r="J86" s="110" t="str"/>
      <x:c r="K86" s="110" t="str"/>
      <x:c r="L86" s="110" t="str"/>
      <x:c r="M86" s="110" t="str"/>
      <x:c r="N86" s="110" t="str"/>
      <x:c r="O86" s="110" t="str"/>
      <x:c r="P86" s="110" t="str"/>
      <x:c r="Q86" s="110" t="str"/>
    </x:row>
    <x:row r="87" ht="32" customHeight="1">
      <x:c r="A87" s="110" t="str"/>
      <x:c r="B87" s="110" t="str"/>
      <x:c r="C87" s="110" t="str"/>
      <x:c r="D87" s="110" t="str"/>
      <x:c r="E87" s="110" t="str"/>
      <x:c r="F87" s="110" t="str"/>
      <x:c r="G87" s="110" t="str"/>
      <x:c r="H87" s="112" t="str"/>
      <x:c r="I87" s="112" t="str"/>
      <x:c r="J87" s="110" t="str"/>
      <x:c r="K87" s="110" t="str"/>
      <x:c r="L87" s="110" t="str"/>
      <x:c r="M87" s="110" t="str"/>
      <x:c r="N87" s="110" t="str"/>
      <x:c r="O87" s="110" t="str"/>
      <x:c r="P87" s="110" t="str"/>
      <x:c r="Q87" s="110" t="str"/>
    </x:row>
    <x:row r="88" ht="32" customHeight="1">
      <x:c r="A88" s="110" t="str"/>
      <x:c r="B88" s="110" t="str"/>
      <x:c r="C88" s="110" t="str"/>
      <x:c r="D88" s="110" t="str"/>
      <x:c r="E88" s="110" t="str"/>
      <x:c r="F88" s="110" t="str"/>
      <x:c r="G88" s="110" t="str"/>
      <x:c r="H88" s="112" t="str"/>
      <x:c r="I88" s="112" t="str"/>
      <x:c r="J88" s="110" t="str"/>
      <x:c r="K88" s="110" t="str"/>
      <x:c r="L88" s="110" t="str"/>
      <x:c r="M88" s="110" t="str"/>
      <x:c r="N88" s="110" t="str"/>
      <x:c r="O88" s="110" t="str"/>
      <x:c r="P88" s="110" t="str"/>
      <x:c r="Q88" s="110" t="str"/>
    </x:row>
    <x:row r="89" ht="32" customHeight="1">
      <x:c r="A89" s="110" t="str"/>
      <x:c r="B89" s="110" t="str"/>
      <x:c r="C89" s="110" t="str"/>
      <x:c r="D89" s="110" t="str"/>
      <x:c r="E89" s="110" t="str"/>
      <x:c r="F89" s="110" t="str"/>
      <x:c r="G89" s="110" t="str"/>
      <x:c r="H89" s="112" t="str"/>
      <x:c r="I89" s="112" t="str"/>
      <x:c r="J89" s="110" t="str"/>
      <x:c r="K89" s="110" t="str"/>
      <x:c r="L89" s="110" t="str"/>
      <x:c r="M89" s="110" t="str"/>
      <x:c r="N89" s="110" t="str"/>
      <x:c r="O89" s="110" t="str"/>
      <x:c r="P89" s="110" t="str"/>
      <x:c r="Q89" s="110" t="str"/>
    </x:row>
    <x:row r="90" ht="32" customHeight="1">
      <x:c r="A90" s="110" t="str"/>
      <x:c r="B90" s="110" t="str"/>
      <x:c r="C90" s="110" t="str"/>
      <x:c r="D90" s="110" t="str"/>
      <x:c r="E90" s="110" t="str"/>
      <x:c r="F90" s="110" t="str"/>
      <x:c r="G90" s="110" t="str"/>
      <x:c r="H90" s="112" t="str"/>
      <x:c r="I90" s="112" t="str"/>
      <x:c r="J90" s="110" t="str"/>
      <x:c r="K90" s="110" t="str"/>
      <x:c r="L90" s="110" t="str"/>
      <x:c r="M90" s="110" t="str"/>
      <x:c r="N90" s="110" t="str"/>
      <x:c r="O90" s="110" t="str"/>
      <x:c r="P90" s="110" t="str"/>
      <x:c r="Q90" s="110" t="str"/>
    </x:row>
    <x:row r="91" ht="32" customHeight="1">
      <x:c r="A91" s="110" t="str"/>
      <x:c r="B91" s="110" t="str"/>
      <x:c r="C91" s="110" t="str"/>
      <x:c r="D91" s="110" t="str"/>
      <x:c r="E91" s="110" t="str"/>
      <x:c r="F91" s="110" t="str"/>
      <x:c r="G91" s="110" t="str"/>
      <x:c r="H91" s="112" t="str"/>
      <x:c r="I91" s="112" t="str"/>
      <x:c r="J91" s="110" t="str"/>
      <x:c r="K91" s="110" t="str"/>
      <x:c r="L91" s="110" t="str"/>
      <x:c r="M91" s="110" t="str"/>
      <x:c r="N91" s="110" t="str"/>
      <x:c r="O91" s="110" t="str"/>
      <x:c r="P91" s="110" t="str"/>
      <x:c r="Q91" s="110" t="str"/>
    </x:row>
    <x:row r="92" ht="32" customHeight="1">
      <x:c r="A92" s="110" t="str"/>
      <x:c r="B92" s="110" t="str"/>
      <x:c r="C92" s="110" t="str"/>
      <x:c r="D92" s="110" t="str"/>
      <x:c r="E92" s="110" t="str"/>
      <x:c r="F92" s="110" t="str"/>
      <x:c r="G92" s="110" t="str"/>
      <x:c r="H92" s="112" t="str"/>
      <x:c r="I92" s="112" t="str"/>
      <x:c r="J92" s="110" t="str"/>
      <x:c r="K92" s="110" t="str"/>
      <x:c r="L92" s="110" t="str"/>
      <x:c r="M92" s="110" t="str"/>
      <x:c r="N92" s="110" t="str"/>
      <x:c r="O92" s="110" t="str"/>
      <x:c r="P92" s="110" t="str"/>
      <x:c r="Q92" s="110" t="str"/>
    </x:row>
    <x:row r="93" ht="32" customHeight="1">
      <x:c r="A93" s="110" t="str"/>
      <x:c r="B93" s="110" t="str"/>
      <x:c r="C93" s="110" t="str"/>
      <x:c r="D93" s="110" t="str"/>
      <x:c r="E93" s="110" t="str"/>
      <x:c r="F93" s="110" t="str"/>
      <x:c r="G93" s="110" t="str"/>
      <x:c r="H93" s="112" t="str"/>
      <x:c r="I93" s="112" t="str"/>
      <x:c r="J93" s="110" t="str"/>
      <x:c r="K93" s="110" t="str"/>
      <x:c r="L93" s="110" t="str"/>
      <x:c r="M93" s="110" t="str"/>
      <x:c r="N93" s="110" t="str"/>
      <x:c r="O93" s="110" t="str"/>
      <x:c r="P93" s="110" t="str"/>
      <x:c r="Q93" s="110" t="str"/>
    </x:row>
    <x:row r="94" ht="32" customHeight="1">
      <x:c r="A94" s="110" t="str"/>
      <x:c r="B94" s="110" t="str"/>
      <x:c r="C94" s="110" t="str"/>
      <x:c r="D94" s="110" t="str"/>
      <x:c r="E94" s="110" t="str"/>
      <x:c r="F94" s="110" t="str"/>
      <x:c r="G94" s="110" t="str"/>
      <x:c r="H94" s="112" t="str"/>
      <x:c r="I94" s="112" t="str"/>
      <x:c r="J94" s="110" t="str"/>
      <x:c r="K94" s="110" t="str"/>
      <x:c r="L94" s="110" t="str"/>
      <x:c r="M94" s="110" t="str"/>
      <x:c r="N94" s="110" t="str"/>
      <x:c r="O94" s="110" t="str"/>
      <x:c r="P94" s="110" t="str"/>
      <x:c r="Q94" s="110" t="str"/>
    </x:row>
    <x:row r="95" ht="32" customHeight="1">
      <x:c r="A95" s="110" t="str"/>
      <x:c r="B95" s="110" t="str"/>
      <x:c r="C95" s="110" t="str"/>
      <x:c r="D95" s="110" t="str"/>
      <x:c r="E95" s="110" t="str"/>
      <x:c r="F95" s="110" t="str"/>
      <x:c r="G95" s="110" t="str"/>
      <x:c r="H95" s="112" t="str"/>
      <x:c r="I95" s="112" t="str"/>
      <x:c r="J95" s="110" t="str"/>
      <x:c r="K95" s="110" t="str"/>
      <x:c r="L95" s="110" t="str"/>
      <x:c r="M95" s="110" t="str"/>
      <x:c r="N95" s="110" t="str"/>
      <x:c r="O95" s="110" t="str"/>
      <x:c r="P95" s="110" t="str"/>
      <x:c r="Q95" s="110" t="str"/>
    </x:row>
    <x:row r="96" ht="32" customHeight="1">
      <x:c r="A96" s="110" t="str"/>
      <x:c r="B96" s="110" t="str"/>
      <x:c r="C96" s="110" t="str"/>
      <x:c r="D96" s="110" t="str"/>
      <x:c r="E96" s="110" t="str"/>
      <x:c r="F96" s="110" t="str"/>
      <x:c r="G96" s="110" t="str"/>
      <x:c r="H96" s="112" t="str"/>
      <x:c r="I96" s="112" t="str"/>
      <x:c r="J96" s="110" t="str"/>
      <x:c r="K96" s="110" t="str"/>
      <x:c r="L96" s="110" t="str"/>
      <x:c r="M96" s="110" t="str"/>
      <x:c r="N96" s="110" t="str"/>
      <x:c r="O96" s="110" t="str"/>
      <x:c r="P96" s="110" t="str"/>
      <x:c r="Q96" s="110" t="str"/>
    </x:row>
    <x:row r="97" ht="32" customHeight="1">
      <x:c r="A97" s="110" t="str"/>
      <x:c r="B97" s="110" t="str"/>
      <x:c r="C97" s="110" t="str"/>
      <x:c r="D97" s="110" t="str"/>
      <x:c r="E97" s="110" t="str"/>
      <x:c r="F97" s="110" t="str"/>
      <x:c r="G97" s="110" t="str"/>
      <x:c r="H97" s="112" t="str"/>
      <x:c r="I97" s="112" t="str"/>
      <x:c r="J97" s="110" t="str"/>
      <x:c r="K97" s="110" t="str"/>
      <x:c r="L97" s="110" t="str"/>
      <x:c r="M97" s="110" t="str"/>
      <x:c r="N97" s="110" t="str"/>
      <x:c r="O97" s="110" t="str"/>
      <x:c r="P97" s="110" t="str"/>
      <x:c r="Q97" s="110" t="str"/>
    </x:row>
    <x:row r="98" ht="32" customHeight="1">
      <x:c r="A98" s="110" t="str"/>
      <x:c r="B98" s="110" t="str"/>
      <x:c r="C98" s="110" t="str"/>
      <x:c r="D98" s="110" t="str"/>
      <x:c r="E98" s="110" t="str"/>
      <x:c r="F98" s="110" t="str"/>
      <x:c r="G98" s="110" t="str"/>
      <x:c r="H98" s="112" t="str"/>
      <x:c r="I98" s="112" t="str"/>
      <x:c r="J98" s="110" t="str"/>
      <x:c r="K98" s="110" t="str"/>
      <x:c r="L98" s="110" t="str"/>
      <x:c r="M98" s="110" t="str"/>
      <x:c r="N98" s="110" t="str"/>
      <x:c r="O98" s="110" t="str"/>
      <x:c r="P98" s="110" t="str"/>
      <x:c r="Q98" s="110" t="str"/>
    </x:row>
    <x:row r="99" ht="32" customHeight="1">
      <x:c r="A99" s="110" t="str"/>
      <x:c r="B99" s="110" t="str"/>
      <x:c r="C99" s="110" t="str"/>
      <x:c r="D99" s="110" t="str"/>
      <x:c r="E99" s="110" t="str"/>
      <x:c r="F99" s="110" t="str"/>
      <x:c r="G99" s="110" t="str"/>
      <x:c r="H99" s="112" t="str"/>
      <x:c r="I99" s="112" t="str"/>
      <x:c r="J99" s="110" t="str"/>
      <x:c r="K99" s="110" t="str"/>
      <x:c r="L99" s="110" t="str"/>
      <x:c r="M99" s="110" t="str"/>
      <x:c r="N99" s="110" t="str"/>
      <x:c r="O99" s="110" t="str"/>
      <x:c r="P99" s="110" t="str"/>
      <x:c r="Q99" s="110" t="str"/>
    </x:row>
    <x:row r="100" ht="32" customHeight="1">
      <x:c r="A100" s="110" t="str"/>
      <x:c r="B100" s="110" t="str"/>
      <x:c r="C100" s="110" t="str"/>
      <x:c r="D100" s="110" t="str"/>
      <x:c r="E100" s="110" t="str"/>
      <x:c r="F100" s="110" t="str"/>
      <x:c r="G100" s="110" t="str"/>
      <x:c r="H100" s="112" t="str"/>
      <x:c r="I100" s="112" t="str"/>
      <x:c r="J100" s="110" t="str"/>
      <x:c r="K100" s="110" t="str"/>
      <x:c r="L100" s="110" t="str"/>
      <x:c r="M100" s="110" t="str"/>
      <x:c r="N100" s="110" t="str"/>
      <x:c r="O100" s="110" t="str"/>
      <x:c r="P100" s="110" t="str"/>
      <x:c r="Q100" s="110" t="str"/>
    </x:row>
    <x:row r="101" ht="32" customHeight="1">
      <x:c r="A101" s="110" t="str"/>
      <x:c r="B101" s="110" t="str"/>
      <x:c r="C101" s="110" t="str"/>
      <x:c r="D101" s="110" t="str"/>
      <x:c r="E101" s="110" t="str"/>
      <x:c r="F101" s="110" t="str"/>
      <x:c r="G101" s="110" t="str"/>
      <x:c r="H101" s="112" t="str"/>
      <x:c r="I101" s="112" t="str"/>
      <x:c r="J101" s="110" t="str"/>
      <x:c r="K101" s="110" t="str"/>
      <x:c r="L101" s="110" t="str"/>
      <x:c r="M101" s="110" t="str"/>
      <x:c r="N101" s="110" t="str"/>
      <x:c r="O101" s="110" t="str"/>
      <x:c r="P101" s="110" t="str"/>
      <x:c r="Q101" s="110" t="str"/>
    </x:row>
    <x:row r="102" ht="32" customHeight="1">
      <x:c r="A102" s="110" t="str"/>
      <x:c r="B102" s="110" t="str"/>
      <x:c r="C102" s="110" t="str"/>
      <x:c r="D102" s="110" t="str"/>
      <x:c r="E102" s="110" t="str"/>
      <x:c r="F102" s="110" t="str"/>
      <x:c r="G102" s="110" t="str"/>
      <x:c r="H102" s="112" t="str"/>
      <x:c r="I102" s="112" t="str"/>
      <x:c r="J102" s="110" t="str"/>
      <x:c r="K102" s="110" t="str"/>
      <x:c r="L102" s="110" t="str"/>
      <x:c r="M102" s="110" t="str"/>
      <x:c r="N102" s="110" t="str"/>
      <x:c r="O102" s="110" t="str"/>
      <x:c r="P102" s="110" t="str"/>
      <x:c r="Q102" s="110" t="str"/>
    </x:row>
    <x:row r="103" ht="32" customHeight="1">
      <x:c r="A103" s="110" t="str"/>
      <x:c r="B103" s="110" t="str"/>
      <x:c r="C103" s="110" t="str"/>
      <x:c r="D103" s="110" t="str"/>
      <x:c r="E103" s="110" t="str"/>
      <x:c r="F103" s="110" t="str"/>
      <x:c r="G103" s="110" t="str"/>
      <x:c r="H103" s="112" t="str"/>
      <x:c r="I103" s="112" t="str"/>
      <x:c r="J103" s="110" t="str"/>
      <x:c r="K103" s="110" t="str"/>
      <x:c r="L103" s="110" t="str"/>
      <x:c r="M103" s="110" t="str"/>
      <x:c r="N103" s="110" t="str"/>
      <x:c r="O103" s="110" t="str"/>
      <x:c r="P103" s="110" t="str"/>
      <x:c r="Q103" s="110" t="str"/>
    </x:row>
    <x:row r="104" ht="32" customHeight="1">
      <x:c r="A104" s="110" t="str"/>
      <x:c r="B104" s="110" t="str"/>
      <x:c r="C104" s="110" t="str"/>
      <x:c r="D104" s="110" t="str"/>
      <x:c r="E104" s="110" t="str"/>
      <x:c r="F104" s="110" t="str"/>
      <x:c r="G104" s="110" t="str"/>
      <x:c r="H104" s="112" t="str"/>
      <x:c r="I104" s="112" t="str"/>
      <x:c r="J104" s="110" t="str"/>
      <x:c r="K104" s="110" t="str"/>
      <x:c r="L104" s="110" t="str"/>
      <x:c r="M104" s="110" t="str"/>
      <x:c r="N104" s="110" t="str"/>
      <x:c r="O104" s="110" t="str"/>
      <x:c r="P104" s="110" t="str"/>
      <x:c r="Q104" s="110" t="str"/>
    </x:row>
    <x:row r="105" ht="32" customHeight="1">
      <x:c r="A105" s="110" t="str"/>
      <x:c r="B105" s="110" t="str"/>
      <x:c r="C105" s="110" t="str"/>
      <x:c r="D105" s="110" t="str"/>
      <x:c r="E105" s="110" t="str"/>
      <x:c r="F105" s="110" t="str"/>
      <x:c r="G105" s="110" t="str"/>
      <x:c r="H105" s="112" t="str"/>
      <x:c r="I105" s="112" t="str"/>
      <x:c r="J105" s="110" t="str"/>
      <x:c r="K105" s="110" t="str"/>
      <x:c r="L105" s="110" t="str"/>
      <x:c r="M105" s="110" t="str"/>
      <x:c r="N105" s="110" t="str"/>
      <x:c r="O105" s="110" t="str"/>
      <x:c r="P105" s="110" t="str"/>
      <x:c r="Q105" s="110" t="str"/>
    </x:row>
    <x:row r="106" ht="32" customHeight="1">
      <x:c r="A106" s="110" t="str"/>
      <x:c r="B106" s="110" t="str"/>
      <x:c r="C106" s="110" t="str"/>
      <x:c r="D106" s="110" t="str"/>
      <x:c r="E106" s="110" t="str"/>
      <x:c r="F106" s="110" t="str"/>
      <x:c r="G106" s="110" t="str"/>
      <x:c r="H106" s="112" t="str"/>
      <x:c r="I106" s="112" t="str"/>
      <x:c r="J106" s="110" t="str"/>
      <x:c r="K106" s="110" t="str"/>
      <x:c r="L106" s="110" t="str"/>
      <x:c r="M106" s="110" t="str"/>
      <x:c r="N106" s="110" t="str"/>
      <x:c r="O106" s="110" t="str"/>
      <x:c r="P106" s="110" t="str"/>
      <x:c r="Q106" s="110" t="str"/>
    </x:row>
    <x:row r="107" ht="32" customHeight="1">
      <x:c r="A107" s="110" t="str"/>
      <x:c r="B107" s="110" t="str"/>
      <x:c r="C107" s="110" t="str"/>
      <x:c r="D107" s="110" t="str"/>
      <x:c r="E107" s="110" t="str"/>
      <x:c r="F107" s="110" t="str"/>
      <x:c r="G107" s="110" t="str"/>
      <x:c r="H107" s="112" t="str"/>
      <x:c r="I107" s="112" t="str"/>
      <x:c r="J107" s="110" t="str"/>
      <x:c r="K107" s="110" t="str"/>
      <x:c r="L107" s="110" t="str"/>
      <x:c r="M107" s="110" t="str"/>
      <x:c r="N107" s="110" t="str"/>
      <x:c r="O107" s="110" t="str"/>
      <x:c r="P107" s="110" t="str"/>
      <x:c r="Q107" s="110" t="str"/>
    </x:row>
    <x:row r="108" ht="32" customHeight="1">
      <x:c r="A108" s="110" t="str"/>
      <x:c r="B108" s="110" t="str"/>
      <x:c r="C108" s="110" t="str"/>
      <x:c r="D108" s="110" t="str"/>
      <x:c r="E108" s="110" t="str"/>
      <x:c r="F108" s="110" t="str"/>
      <x:c r="G108" s="110" t="str"/>
      <x:c r="H108" s="112" t="str"/>
      <x:c r="I108" s="112" t="str"/>
      <x:c r="J108" s="110" t="str"/>
      <x:c r="K108" s="110" t="str"/>
      <x:c r="L108" s="110" t="str"/>
      <x:c r="M108" s="110" t="str"/>
      <x:c r="N108" s="110" t="str"/>
      <x:c r="O108" s="110" t="str"/>
      <x:c r="P108" s="110" t="str"/>
      <x:c r="Q108" s="110" t="str"/>
    </x:row>
    <x:row r="109" ht="32" customHeight="1">
      <x:c r="A109" s="110" t="str"/>
      <x:c r="B109" s="110" t="str"/>
      <x:c r="C109" s="110" t="str"/>
      <x:c r="D109" s="110" t="str"/>
      <x:c r="E109" s="110" t="str"/>
      <x:c r="F109" s="110" t="str"/>
      <x:c r="G109" s="110" t="str"/>
      <x:c r="H109" s="112" t="str"/>
      <x:c r="I109" s="112" t="str"/>
      <x:c r="J109" s="110" t="str"/>
      <x:c r="K109" s="110" t="str"/>
      <x:c r="L109" s="110" t="str"/>
      <x:c r="M109" s="110" t="str"/>
      <x:c r="N109" s="110" t="str"/>
      <x:c r="O109" s="110" t="str"/>
      <x:c r="P109" s="110" t="str"/>
      <x:c r="Q109" s="110" t="str"/>
    </x:row>
    <x:row r="110" ht="32" customHeight="1">
      <x:c r="A110" s="110" t="str"/>
      <x:c r="B110" s="110" t="str"/>
      <x:c r="C110" s="110" t="str"/>
      <x:c r="D110" s="110" t="str"/>
      <x:c r="E110" s="110" t="str"/>
      <x:c r="F110" s="110" t="str"/>
      <x:c r="G110" s="110" t="str"/>
      <x:c r="H110" s="112" t="str"/>
      <x:c r="I110" s="112" t="str"/>
      <x:c r="J110" s="110" t="str"/>
      <x:c r="K110" s="110" t="str"/>
      <x:c r="L110" s="110" t="str"/>
      <x:c r="M110" s="110" t="str"/>
      <x:c r="N110" s="110" t="str"/>
      <x:c r="O110" s="110" t="str"/>
      <x:c r="P110" s="110" t="str"/>
      <x:c r="Q110" s="110" t="str"/>
    </x:row>
    <x:row r="111" ht="32" customHeight="1">
      <x:c r="A111" s="110" t="str"/>
      <x:c r="B111" s="110" t="str"/>
      <x:c r="C111" s="110" t="str"/>
      <x:c r="D111" s="110" t="str"/>
      <x:c r="E111" s="110" t="str"/>
      <x:c r="F111" s="110" t="str"/>
      <x:c r="G111" s="110" t="str"/>
      <x:c r="H111" s="112" t="str"/>
      <x:c r="I111" s="112" t="str"/>
      <x:c r="J111" s="110" t="str"/>
      <x:c r="K111" s="110" t="str"/>
      <x:c r="L111" s="110" t="str"/>
      <x:c r="M111" s="110" t="str"/>
      <x:c r="N111" s="110" t="str"/>
      <x:c r="O111" s="110" t="str"/>
      <x:c r="P111" s="110" t="str"/>
      <x:c r="Q111" s="110" t="str"/>
    </x:row>
    <x:row r="112" ht="32" customHeight="1">
      <x:c r="A112" s="110" t="str"/>
      <x:c r="B112" s="110" t="str"/>
      <x:c r="C112" s="110" t="str"/>
      <x:c r="D112" s="110" t="str"/>
      <x:c r="E112" s="110" t="str"/>
      <x:c r="F112" s="110" t="str"/>
      <x:c r="G112" s="110" t="str"/>
      <x:c r="H112" s="112" t="str"/>
      <x:c r="I112" s="112" t="str"/>
      <x:c r="J112" s="110" t="str"/>
      <x:c r="K112" s="110" t="str"/>
      <x:c r="L112" s="110" t="str"/>
      <x:c r="M112" s="110" t="str"/>
      <x:c r="N112" s="110" t="str"/>
      <x:c r="O112" s="110" t="str"/>
      <x:c r="P112" s="110" t="str"/>
      <x:c r="Q112" s="110" t="str"/>
    </x:row>
    <x:row r="113" ht="32" customHeight="1">
      <x:c r="A113" s="110" t="str"/>
      <x:c r="B113" s="110" t="str"/>
      <x:c r="C113" s="110" t="str"/>
      <x:c r="D113" s="110" t="str"/>
      <x:c r="E113" s="110" t="str"/>
      <x:c r="F113" s="110" t="str"/>
      <x:c r="G113" s="110" t="str"/>
      <x:c r="H113" s="112" t="str"/>
      <x:c r="I113" s="112" t="str"/>
      <x:c r="J113" s="110" t="str"/>
      <x:c r="K113" s="110" t="str"/>
      <x:c r="L113" s="110" t="str"/>
      <x:c r="M113" s="110" t="str"/>
      <x:c r="N113" s="110" t="str"/>
      <x:c r="O113" s="110" t="str"/>
      <x:c r="P113" s="110" t="str"/>
      <x:c r="Q113" s="110" t="str"/>
    </x:row>
    <x:row r="114" ht="32" customHeight="1">
      <x:c r="A114" s="110" t="str"/>
      <x:c r="B114" s="110" t="str"/>
      <x:c r="C114" s="110" t="str"/>
      <x:c r="D114" s="110" t="str"/>
      <x:c r="E114" s="110" t="str"/>
      <x:c r="F114" s="110" t="str"/>
      <x:c r="G114" s="110" t="str"/>
      <x:c r="H114" s="112" t="str"/>
      <x:c r="I114" s="112" t="str"/>
      <x:c r="J114" s="110" t="str"/>
      <x:c r="K114" s="110" t="str"/>
      <x:c r="L114" s="110" t="str"/>
      <x:c r="M114" s="110" t="str"/>
      <x:c r="N114" s="110" t="str"/>
      <x:c r="O114" s="110" t="str"/>
      <x:c r="P114" s="110" t="str"/>
      <x:c r="Q114" s="110" t="str"/>
    </x:row>
    <x:row r="115" ht="32" customHeight="1">
      <x:c r="A115" s="110" t="str"/>
      <x:c r="B115" s="110" t="str"/>
      <x:c r="C115" s="110" t="str"/>
      <x:c r="D115" s="110" t="str"/>
      <x:c r="E115" s="110" t="str"/>
      <x:c r="F115" s="110" t="str"/>
      <x:c r="G115" s="110" t="str"/>
      <x:c r="H115" s="112" t="str"/>
      <x:c r="I115" s="112" t="str"/>
      <x:c r="J115" s="110" t="str"/>
      <x:c r="K115" s="110" t="str"/>
      <x:c r="L115" s="110" t="str"/>
      <x:c r="M115" s="110" t="str"/>
      <x:c r="N115" s="110" t="str"/>
      <x:c r="O115" s="110" t="str"/>
      <x:c r="P115" s="110" t="str"/>
      <x:c r="Q115" s="110" t="str"/>
    </x:row>
    <x:row r="116" ht="32" customHeight="1">
      <x:c r="A116" s="110" t="str"/>
      <x:c r="B116" s="110" t="str"/>
      <x:c r="C116" s="110" t="str"/>
      <x:c r="D116" s="110" t="str"/>
      <x:c r="E116" s="110" t="str"/>
      <x:c r="F116" s="110" t="str"/>
      <x:c r="G116" s="110" t="str"/>
      <x:c r="H116" s="112" t="str"/>
      <x:c r="I116" s="112" t="str"/>
      <x:c r="J116" s="110" t="str"/>
      <x:c r="K116" s="110" t="str"/>
      <x:c r="L116" s="110" t="str"/>
      <x:c r="M116" s="110" t="str"/>
      <x:c r="N116" s="110" t="str"/>
      <x:c r="O116" s="110" t="str"/>
      <x:c r="P116" s="110" t="str"/>
      <x:c r="Q116" s="110" t="str"/>
    </x:row>
    <x:row r="117" ht="32" customHeight="1">
      <x:c r="A117" s="110" t="str"/>
      <x:c r="B117" s="110" t="str"/>
      <x:c r="C117" s="110" t="str"/>
      <x:c r="D117" s="110" t="str"/>
      <x:c r="E117" s="110" t="str"/>
      <x:c r="F117" s="110" t="str"/>
      <x:c r="G117" s="110" t="str"/>
      <x:c r="H117" s="112" t="str"/>
      <x:c r="I117" s="112" t="str"/>
      <x:c r="J117" s="110" t="str"/>
      <x:c r="K117" s="110" t="str"/>
      <x:c r="L117" s="110" t="str"/>
      <x:c r="M117" s="110" t="str"/>
      <x:c r="N117" s="110" t="str"/>
      <x:c r="O117" s="110" t="str"/>
      <x:c r="P117" s="110" t="str"/>
      <x:c r="Q117" s="110" t="str"/>
    </x:row>
    <x:row r="118" ht="32" customHeight="1">
      <x:c r="A118" s="110" t="str"/>
      <x:c r="B118" s="110" t="str"/>
      <x:c r="C118" s="110" t="str"/>
      <x:c r="D118" s="110" t="str"/>
      <x:c r="E118" s="110" t="str"/>
      <x:c r="F118" s="110" t="str"/>
      <x:c r="G118" s="110" t="str"/>
      <x:c r="H118" s="112" t="str"/>
      <x:c r="I118" s="112" t="str"/>
      <x:c r="J118" s="110" t="str"/>
      <x:c r="K118" s="110" t="str"/>
      <x:c r="L118" s="110" t="str"/>
      <x:c r="M118" s="110" t="str"/>
      <x:c r="N118" s="110" t="str"/>
      <x:c r="O118" s="110" t="str"/>
      <x:c r="P118" s="110" t="str"/>
      <x:c r="Q118" s="110" t="str"/>
    </x:row>
    <x:row r="119" ht="32" customHeight="1">
      <x:c r="A119" s="110" t="str"/>
      <x:c r="B119" s="110" t="str"/>
      <x:c r="C119" s="110" t="str"/>
      <x:c r="D119" s="110" t="str"/>
      <x:c r="E119" s="110" t="str"/>
      <x:c r="F119" s="110" t="str"/>
      <x:c r="G119" s="110" t="str"/>
      <x:c r="H119" s="112" t="str"/>
      <x:c r="I119" s="112" t="str"/>
      <x:c r="J119" s="110" t="str"/>
      <x:c r="K119" s="110" t="str"/>
      <x:c r="L119" s="110" t="str"/>
      <x:c r="M119" s="110" t="str"/>
      <x:c r="N119" s="110" t="str"/>
      <x:c r="O119" s="110" t="str"/>
      <x:c r="P119" s="110" t="str"/>
      <x:c r="Q119" s="110" t="str"/>
    </x:row>
    <x:row r="120" ht="32" customHeight="1">
      <x:c r="A120" s="110" t="str"/>
      <x:c r="B120" s="110" t="str"/>
      <x:c r="C120" s="110" t="str"/>
      <x:c r="D120" s="110" t="str"/>
      <x:c r="E120" s="110" t="str"/>
      <x:c r="F120" s="110" t="str"/>
      <x:c r="G120" s="110" t="str"/>
      <x:c r="H120" s="112" t="str"/>
      <x:c r="I120" s="112" t="str"/>
      <x:c r="J120" s="110" t="str"/>
      <x:c r="K120" s="110" t="str"/>
      <x:c r="L120" s="110" t="str"/>
      <x:c r="M120" s="110" t="str"/>
      <x:c r="N120" s="110" t="str"/>
      <x:c r="O120" s="110" t="str"/>
      <x:c r="P120" s="110" t="str"/>
      <x:c r="Q120" s="110" t="str"/>
    </x:row>
    <x:row r="121" ht="32" customHeight="1">
      <x:c r="A121" s="110" t="str"/>
      <x:c r="B121" s="110" t="str"/>
      <x:c r="C121" s="110" t="str"/>
      <x:c r="D121" s="110" t="str"/>
      <x:c r="E121" s="110" t="str"/>
      <x:c r="F121" s="110" t="str"/>
      <x:c r="G121" s="110" t="str"/>
      <x:c r="H121" s="112" t="str"/>
      <x:c r="I121" s="112" t="str"/>
      <x:c r="J121" s="110" t="str"/>
      <x:c r="K121" s="110" t="str"/>
      <x:c r="L121" s="110" t="str"/>
      <x:c r="M121" s="110" t="str"/>
      <x:c r="N121" s="110" t="str"/>
      <x:c r="O121" s="110" t="str"/>
      <x:c r="P121" s="110" t="str"/>
      <x:c r="Q121" s="110" t="str"/>
    </x:row>
    <x:row r="122" ht="32" customHeight="1">
      <x:c r="A122" s="110" t="str"/>
      <x:c r="B122" s="110" t="str"/>
      <x:c r="C122" s="110" t="str"/>
      <x:c r="D122" s="110" t="str"/>
      <x:c r="E122" s="110" t="str"/>
      <x:c r="F122" s="110" t="str"/>
      <x:c r="G122" s="110" t="str"/>
      <x:c r="H122" s="112" t="str"/>
      <x:c r="I122" s="112" t="str"/>
      <x:c r="J122" s="110" t="str"/>
      <x:c r="K122" s="110" t="str"/>
      <x:c r="L122" s="110" t="str"/>
      <x:c r="M122" s="110" t="str"/>
      <x:c r="N122" s="110" t="str"/>
      <x:c r="O122" s="110" t="str"/>
      <x:c r="P122" s="110" t="str"/>
      <x:c r="Q122" s="110" t="str"/>
    </x:row>
    <x:row r="123" ht="32" customHeight="1">
      <x:c r="A123" s="110" t="str"/>
      <x:c r="B123" s="110" t="str"/>
      <x:c r="C123" s="110" t="str"/>
      <x:c r="D123" s="110" t="str"/>
      <x:c r="E123" s="110" t="str"/>
      <x:c r="F123" s="110" t="str"/>
      <x:c r="G123" s="110" t="str"/>
      <x:c r="H123" s="112" t="str"/>
      <x:c r="I123" s="112" t="str"/>
      <x:c r="J123" s="110" t="str"/>
      <x:c r="K123" s="110" t="str"/>
      <x:c r="L123" s="110" t="str"/>
      <x:c r="M123" s="110" t="str"/>
      <x:c r="N123" s="110" t="str"/>
      <x:c r="O123" s="110" t="str"/>
      <x:c r="P123" s="110" t="str"/>
      <x:c r="Q123" s="110" t="str"/>
    </x:row>
    <x:row r="124" ht="32" customHeight="1">
      <x:c r="A124" s="110" t="str"/>
      <x:c r="B124" s="110" t="str"/>
      <x:c r="C124" s="110" t="str"/>
      <x:c r="D124" s="110" t="str"/>
      <x:c r="E124" s="110" t="str"/>
      <x:c r="F124" s="110" t="str"/>
      <x:c r="G124" s="110" t="str"/>
      <x:c r="H124" s="112" t="str"/>
      <x:c r="I124" s="112" t="str"/>
      <x:c r="J124" s="110" t="str"/>
      <x:c r="K124" s="110" t="str"/>
      <x:c r="L124" s="110" t="str"/>
      <x:c r="M124" s="110" t="str"/>
      <x:c r="N124" s="110" t="str"/>
      <x:c r="O124" s="110" t="str"/>
      <x:c r="P124" s="110" t="str"/>
      <x:c r="Q124" s="110" t="str"/>
    </x:row>
  </x:sheetData>
  <x:mergeCells>
    <x:mergeCell ref="A1:Q1"/>
    <x:mergeCell ref="A2:Q2"/>
  </x:mergeCells>
  <x:conditionalFormatting sqref="N5:O124">
    <x:cfRule type="containsText" dxfId="55" priority="1" operator="containsText" text="已完成"/>
    <x:cfRule type="containsText" dxfId="56" priority="2" operator="containsText" text="已通过"/>
    <x:cfRule type="containsText" dxfId="57" priority="3" operator="containsText" text="进行中"/>
    <x:cfRule type="containsText" dxfId="58" priority="4" operator="containsText" text="待审核"/>
    <x:cfRule type="containsText" dxfId="59" priority="5" operator="containsText" text="阻塞"/>
  </x:conditionalFormatting>
  <x:dataValidations count="4">
    <x:dataValidation type="list" sqref="D5:D124">
      <x:formula1>"has_biological_father,has_biological_mother,has_legal_father,has_legal_mother,has_ritual_mother,has_adoptive_parent,has_foster_parent,spouse_of,betrothed_to,member_of_lineage,teacher_of,student_of,political_ally_of,political_opponent_of"</x:formula1>
    </x:dataValidation>
    <x:dataValidation type="list" sqref="K5:K124">
      <x:formula1>"出生总序,存活子女序,皇子序,来源原记,编辑推定"</x:formula1>
    </x:dataValidation>
    <x:dataValidation type="list" sqref="N5:N124">
      <x:formula1>"未核验,定位已核,引文已核,完全核验"</x:formula1>
    </x:dataValidation>
    <x:dataValidation type="list" sqref="O5:O124">
      <x:formula1>"草稿,审核中,已采纳,有争议,已驳回,已废弃"</x:formula1>
    </x:dataValidation>
  </x:dataValidations>
  <x:pageMargins left="0.7" right="0.7" top="0.75" bottom="0.75" header="0.3" footer="0.3"/>
  <x:legacyDrawing xmlns:r="http://schemas.openxmlformats.org/officeDocument/2006/relationships" r:id="Rf64c6938800d4457"/>
  <x:tableParts count="1">
    <x:tablePart xmlns:r="http://schemas.openxmlformats.org/officeDocument/2006/relationships" r:id="Racde554e1c5c416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48" hidden="0" customWidth="1"/>
    <x:col min="10" max="10" width="11" hidden="0" customWidth="1"/>
    <x:col min="11" max="11" width="36" hidden="0" customWidth="1"/>
    <x:col min="12" max="12" width="34" hidden="0" customWidth="1"/>
    <x:col min="13" max="13" width="16" hidden="0" customWidth="1"/>
    <x:col min="14" max="14" width="16" hidden="0" customWidth="1"/>
    <x:col min="15" max="15" width="16" hidden="0" customWidth="1"/>
    <x:col min="16" max="16" width="13" hidden="0" customWidth="1"/>
    <x:col min="17" max="17" width="14" hidden="0" customWidth="1"/>
    <x:col min="18" max="18" width="18" hidden="0" customWidth="1"/>
    <x:col min="19" max="19" width="40" hidden="0" customWidth="1"/>
  </x:cols>
  <x:sheetData>
    <x:row r="1" ht="34" customHeight="1">
      <x:c r="A1" s="3" t="str">
        <x:v>画像与图像工作台</x:v>
      </x:c>
    </x:row>
    <x:row r="2" ht="24" customHeight="1">
      <x:c r="A2" s="6" t="str">
        <x:v>图像对象、数字文件、人物认定和使用许可是四件事。AI 再现必须永久标记，不得伪装成历史原件。</x:v>
      </x:c>
    </x:row>
    <x:row r="4" ht="32" customHeight="1">
      <x:c r="A4" s="92" t="str">
        <x:v>Visual ID</x:v>
      </x:c>
      <x:c r="B4" s="93" t="str">
        <x:v>对象标题</x:v>
      </x:c>
      <x:c r="C4" s="93" t="str">
        <x:v>图像性质</x:v>
      </x:c>
      <x:c r="D4" s="93" t="str">
        <x:v>馆藏机构</x:v>
      </x:c>
      <x:c r="E4" s="93" t="str">
        <x:v>馆藏号</x:v>
      </x:c>
      <x:c r="F4" s="93" t="str">
        <x:v>人物 ID</x:v>
      </x:c>
      <x:c r="G4" s="93" t="str">
        <x:v>人物认定类型</x:v>
      </x:c>
      <x:c r="H4" s="93" t="str">
        <x:v>制作时间</x:v>
      </x:c>
      <x:c r="I4" s="93" t="str">
        <x:v>来源网址</x:v>
      </x:c>
      <x:c r="J4" s="93" t="str">
        <x:v>权利颜色</x:v>
      </x:c>
      <x:c r="K4" s="93" t="str">
        <x:v>权利 URI/许可</x:v>
      </x:c>
      <x:c r="L4" s="93" t="str">
        <x:v>署名要求</x:v>
      </x:c>
      <x:c r="M4" s="93" t="str">
        <x:v>可本地保存</x:v>
      </x:c>
      <x:c r="N4" s="93" t="str">
        <x:v>可公开展示</x:v>
      </x:c>
      <x:c r="O4" s="93" t="str">
        <x:v>可商业使用</x:v>
      </x:c>
      <x:c r="P4" s="93" t="str">
        <x:v>撤下日期</x:v>
      </x:c>
      <x:c r="Q4" s="93" t="str">
        <x:v>责任人</x:v>
      </x:c>
      <x:c r="R4" s="93" t="str">
        <x:v>审核状态</x:v>
      </x:c>
      <x:c r="S4" s="94" t="str">
        <x:v>备注</x:v>
      </x:c>
    </x:row>
    <x:row r="5" ht="34" customHeight="1">
      <x:c r="A5" s="109" t="str"/>
      <x:c r="B5" s="109" t="str"/>
      <x:c r="C5" s="109" t="str"/>
      <x:c r="D5" s="109" t="str"/>
      <x:c r="E5" s="109" t="str"/>
      <x:c r="F5" s="109" t="str"/>
      <x:c r="G5" s="109" t="str"/>
      <x:c r="H5" s="109" t="str"/>
      <x:c r="I5" s="109" t="str"/>
      <x:c r="J5" s="109" t="str"/>
      <x:c r="K5" s="109" t="str"/>
      <x:c r="L5" s="109" t="str"/>
      <x:c r="M5" s="109" t="str"/>
      <x:c r="N5" s="109" t="str"/>
      <x:c r="O5" s="109" t="str"/>
      <x:c r="P5" s="111" t="str"/>
      <x:c r="Q5" s="109" t="str"/>
      <x:c r="R5" s="109" t="str"/>
      <x:c r="S5" s="109" t="str"/>
    </x:row>
    <x:row r="6" ht="34" customHeight="1">
      <x:c r="A6" s="110" t="str"/>
      <x:c r="B6" s="110" t="str"/>
      <x:c r="C6" s="110" t="str"/>
      <x:c r="D6" s="110" t="str"/>
      <x:c r="E6" s="110" t="str"/>
      <x:c r="F6" s="110" t="str"/>
      <x:c r="G6" s="110" t="str"/>
      <x:c r="H6" s="110" t="str"/>
      <x:c r="I6" s="110" t="str"/>
      <x:c r="J6" s="110" t="str"/>
      <x:c r="K6" s="110" t="str"/>
      <x:c r="L6" s="110" t="str"/>
      <x:c r="M6" s="110" t="str"/>
      <x:c r="N6" s="110" t="str"/>
      <x:c r="O6" s="110" t="str"/>
      <x:c r="P6" s="112" t="str"/>
      <x:c r="Q6" s="110" t="str"/>
      <x:c r="R6" s="110" t="str"/>
      <x:c r="S6" s="110" t="str"/>
    </x:row>
    <x:row r="7" ht="34" customHeight="1">
      <x:c r="A7" s="110" t="str"/>
      <x:c r="B7" s="110" t="str"/>
      <x:c r="C7" s="110" t="str"/>
      <x:c r="D7" s="110" t="str"/>
      <x:c r="E7" s="110" t="str"/>
      <x:c r="F7" s="110" t="str"/>
      <x:c r="G7" s="110" t="str"/>
      <x:c r="H7" s="110" t="str"/>
      <x:c r="I7" s="110" t="str"/>
      <x:c r="J7" s="110" t="str"/>
      <x:c r="K7" s="110" t="str"/>
      <x:c r="L7" s="110" t="str"/>
      <x:c r="M7" s="110" t="str"/>
      <x:c r="N7" s="110" t="str"/>
      <x:c r="O7" s="110" t="str"/>
      <x:c r="P7" s="112" t="str"/>
      <x:c r="Q7" s="110" t="str"/>
      <x:c r="R7" s="110" t="str"/>
      <x:c r="S7" s="110" t="str"/>
    </x:row>
    <x:row r="8" ht="34" customHeight="1">
      <x:c r="A8" s="110" t="str"/>
      <x:c r="B8" s="110" t="str"/>
      <x:c r="C8" s="110" t="str"/>
      <x:c r="D8" s="110" t="str"/>
      <x:c r="E8" s="110" t="str"/>
      <x:c r="F8" s="110" t="str"/>
      <x:c r="G8" s="110" t="str"/>
      <x:c r="H8" s="110" t="str"/>
      <x:c r="I8" s="110" t="str"/>
      <x:c r="J8" s="110" t="str"/>
      <x:c r="K8" s="110" t="str"/>
      <x:c r="L8" s="110" t="str"/>
      <x:c r="M8" s="110" t="str"/>
      <x:c r="N8" s="110" t="str"/>
      <x:c r="O8" s="110" t="str"/>
      <x:c r="P8" s="112" t="str"/>
      <x:c r="Q8" s="110" t="str"/>
      <x:c r="R8" s="110" t="str"/>
      <x:c r="S8" s="110" t="str"/>
    </x:row>
    <x:row r="9" ht="34" customHeight="1">
      <x:c r="A9" s="110" t="str"/>
      <x:c r="B9" s="110" t="str"/>
      <x:c r="C9" s="110" t="str"/>
      <x:c r="D9" s="110" t="str"/>
      <x:c r="E9" s="110" t="str"/>
      <x:c r="F9" s="110" t="str"/>
      <x:c r="G9" s="110" t="str"/>
      <x:c r="H9" s="110" t="str"/>
      <x:c r="I9" s="110" t="str"/>
      <x:c r="J9" s="110" t="str"/>
      <x:c r="K9" s="110" t="str"/>
      <x:c r="L9" s="110" t="str"/>
      <x:c r="M9" s="110" t="str"/>
      <x:c r="N9" s="110" t="str"/>
      <x:c r="O9" s="110" t="str"/>
      <x:c r="P9" s="112" t="str"/>
      <x:c r="Q9" s="110" t="str"/>
      <x:c r="R9" s="110" t="str"/>
      <x:c r="S9" s="110" t="str"/>
    </x:row>
    <x:row r="10" ht="34" customHeight="1">
      <x:c r="A10" s="110" t="str"/>
      <x:c r="B10" s="110" t="str"/>
      <x:c r="C10" s="110" t="str"/>
      <x:c r="D10" s="110" t="str"/>
      <x:c r="E10" s="110" t="str"/>
      <x:c r="F10" s="110" t="str"/>
      <x:c r="G10" s="110" t="str"/>
      <x:c r="H10" s="110" t="str"/>
      <x:c r="I10" s="110" t="str"/>
      <x:c r="J10" s="110" t="str"/>
      <x:c r="K10" s="110" t="str"/>
      <x:c r="L10" s="110" t="str"/>
      <x:c r="M10" s="110" t="str"/>
      <x:c r="N10" s="110" t="str"/>
      <x:c r="O10" s="110" t="str"/>
      <x:c r="P10" s="112" t="str"/>
      <x:c r="Q10" s="110" t="str"/>
      <x:c r="R10" s="110" t="str"/>
      <x:c r="S10" s="110" t="str"/>
    </x:row>
    <x:row r="11" ht="34" customHeight="1">
      <x:c r="A11" s="110" t="str"/>
      <x:c r="B11" s="110" t="str"/>
      <x:c r="C11" s="110" t="str"/>
      <x:c r="D11" s="110" t="str"/>
      <x:c r="E11" s="110" t="str"/>
      <x:c r="F11" s="110" t="str"/>
      <x:c r="G11" s="110" t="str"/>
      <x:c r="H11" s="110" t="str"/>
      <x:c r="I11" s="110" t="str"/>
      <x:c r="J11" s="110" t="str"/>
      <x:c r="K11" s="110" t="str"/>
      <x:c r="L11" s="110" t="str"/>
      <x:c r="M11" s="110" t="str"/>
      <x:c r="N11" s="110" t="str"/>
      <x:c r="O11" s="110" t="str"/>
      <x:c r="P11" s="112" t="str"/>
      <x:c r="Q11" s="110" t="str"/>
      <x:c r="R11" s="110" t="str"/>
      <x:c r="S11" s="110" t="str"/>
    </x:row>
    <x:row r="12" ht="34" customHeight="1">
      <x:c r="A12" s="110" t="str"/>
      <x:c r="B12" s="110" t="str"/>
      <x:c r="C12" s="110" t="str"/>
      <x:c r="D12" s="110" t="str"/>
      <x:c r="E12" s="110" t="str"/>
      <x:c r="F12" s="110" t="str"/>
      <x:c r="G12" s="110" t="str"/>
      <x:c r="H12" s="110" t="str"/>
      <x:c r="I12" s="110" t="str"/>
      <x:c r="J12" s="110" t="str"/>
      <x:c r="K12" s="110" t="str"/>
      <x:c r="L12" s="110" t="str"/>
      <x:c r="M12" s="110" t="str"/>
      <x:c r="N12" s="110" t="str"/>
      <x:c r="O12" s="110" t="str"/>
      <x:c r="P12" s="112" t="str"/>
      <x:c r="Q12" s="110" t="str"/>
      <x:c r="R12" s="110" t="str"/>
      <x:c r="S12" s="110" t="str"/>
    </x:row>
    <x:row r="13" ht="34" customHeight="1">
      <x:c r="A13" s="110" t="str"/>
      <x:c r="B13" s="110" t="str"/>
      <x:c r="C13" s="110" t="str"/>
      <x:c r="D13" s="110" t="str"/>
      <x:c r="E13" s="110" t="str"/>
      <x:c r="F13" s="110" t="str"/>
      <x:c r="G13" s="110" t="str"/>
      <x:c r="H13" s="110" t="str"/>
      <x:c r="I13" s="110" t="str"/>
      <x:c r="J13" s="110" t="str"/>
      <x:c r="K13" s="110" t="str"/>
      <x:c r="L13" s="110" t="str"/>
      <x:c r="M13" s="110" t="str"/>
      <x:c r="N13" s="110" t="str"/>
      <x:c r="O13" s="110" t="str"/>
      <x:c r="P13" s="112" t="str"/>
      <x:c r="Q13" s="110" t="str"/>
      <x:c r="R13" s="110" t="str"/>
      <x:c r="S13" s="110" t="str"/>
    </x:row>
    <x:row r="14" ht="34" customHeight="1">
      <x:c r="A14" s="110" t="str"/>
      <x:c r="B14" s="110" t="str"/>
      <x:c r="C14" s="110" t="str"/>
      <x:c r="D14" s="110" t="str"/>
      <x:c r="E14" s="110" t="str"/>
      <x:c r="F14" s="110" t="str"/>
      <x:c r="G14" s="110" t="str"/>
      <x:c r="H14" s="110" t="str"/>
      <x:c r="I14" s="110" t="str"/>
      <x:c r="J14" s="110" t="str"/>
      <x:c r="K14" s="110" t="str"/>
      <x:c r="L14" s="110" t="str"/>
      <x:c r="M14" s="110" t="str"/>
      <x:c r="N14" s="110" t="str"/>
      <x:c r="O14" s="110" t="str"/>
      <x:c r="P14" s="112" t="str"/>
      <x:c r="Q14" s="110" t="str"/>
      <x:c r="R14" s="110" t="str"/>
      <x:c r="S14" s="110" t="str"/>
    </x:row>
    <x:row r="15" ht="34" customHeight="1">
      <x:c r="A15" s="110" t="str"/>
      <x:c r="B15" s="110" t="str"/>
      <x:c r="C15" s="110" t="str"/>
      <x:c r="D15" s="110" t="str"/>
      <x:c r="E15" s="110" t="str"/>
      <x:c r="F15" s="110" t="str"/>
      <x:c r="G15" s="110" t="str"/>
      <x:c r="H15" s="110" t="str"/>
      <x:c r="I15" s="110" t="str"/>
      <x:c r="J15" s="110" t="str"/>
      <x:c r="K15" s="110" t="str"/>
      <x:c r="L15" s="110" t="str"/>
      <x:c r="M15" s="110" t="str"/>
      <x:c r="N15" s="110" t="str"/>
      <x:c r="O15" s="110" t="str"/>
      <x:c r="P15" s="112" t="str"/>
      <x:c r="Q15" s="110" t="str"/>
      <x:c r="R15" s="110" t="str"/>
      <x:c r="S15" s="110" t="str"/>
    </x:row>
    <x:row r="16" ht="34" customHeight="1">
      <x:c r="A16" s="110" t="str"/>
      <x:c r="B16" s="110" t="str"/>
      <x:c r="C16" s="110" t="str"/>
      <x:c r="D16" s="110" t="str"/>
      <x:c r="E16" s="110" t="str"/>
      <x:c r="F16" s="110" t="str"/>
      <x:c r="G16" s="110" t="str"/>
      <x:c r="H16" s="110" t="str"/>
      <x:c r="I16" s="110" t="str"/>
      <x:c r="J16" s="110" t="str"/>
      <x:c r="K16" s="110" t="str"/>
      <x:c r="L16" s="110" t="str"/>
      <x:c r="M16" s="110" t="str"/>
      <x:c r="N16" s="110" t="str"/>
      <x:c r="O16" s="110" t="str"/>
      <x:c r="P16" s="112" t="str"/>
      <x:c r="Q16" s="110" t="str"/>
      <x:c r="R16" s="110" t="str"/>
      <x:c r="S16" s="110" t="str"/>
    </x:row>
    <x:row r="17" ht="34" customHeight="1">
      <x:c r="A17" s="110" t="str"/>
      <x:c r="B17" s="110" t="str"/>
      <x:c r="C17" s="110" t="str"/>
      <x:c r="D17" s="110" t="str"/>
      <x:c r="E17" s="110" t="str"/>
      <x:c r="F17" s="110" t="str"/>
      <x:c r="G17" s="110" t="str"/>
      <x:c r="H17" s="110" t="str"/>
      <x:c r="I17" s="110" t="str"/>
      <x:c r="J17" s="110" t="str"/>
      <x:c r="K17" s="110" t="str"/>
      <x:c r="L17" s="110" t="str"/>
      <x:c r="M17" s="110" t="str"/>
      <x:c r="N17" s="110" t="str"/>
      <x:c r="O17" s="110" t="str"/>
      <x:c r="P17" s="112" t="str"/>
      <x:c r="Q17" s="110" t="str"/>
      <x:c r="R17" s="110" t="str"/>
      <x:c r="S17" s="110" t="str"/>
    </x:row>
    <x:row r="18" ht="34" customHeight="1">
      <x:c r="A18" s="110" t="str"/>
      <x:c r="B18" s="110" t="str"/>
      <x:c r="C18" s="110" t="str"/>
      <x:c r="D18" s="110" t="str"/>
      <x:c r="E18" s="110" t="str"/>
      <x:c r="F18" s="110" t="str"/>
      <x:c r="G18" s="110" t="str"/>
      <x:c r="H18" s="110" t="str"/>
      <x:c r="I18" s="110" t="str"/>
      <x:c r="J18" s="110" t="str"/>
      <x:c r="K18" s="110" t="str"/>
      <x:c r="L18" s="110" t="str"/>
      <x:c r="M18" s="110" t="str"/>
      <x:c r="N18" s="110" t="str"/>
      <x:c r="O18" s="110" t="str"/>
      <x:c r="P18" s="112" t="str"/>
      <x:c r="Q18" s="110" t="str"/>
      <x:c r="R18" s="110" t="str"/>
      <x:c r="S18" s="110" t="str"/>
    </x:row>
    <x:row r="19" ht="34" customHeight="1">
      <x:c r="A19" s="110" t="str"/>
      <x:c r="B19" s="110" t="str"/>
      <x:c r="C19" s="110" t="str"/>
      <x:c r="D19" s="110" t="str"/>
      <x:c r="E19" s="110" t="str"/>
      <x:c r="F19" s="110" t="str"/>
      <x:c r="G19" s="110" t="str"/>
      <x:c r="H19" s="110" t="str"/>
      <x:c r="I19" s="110" t="str"/>
      <x:c r="J19" s="110" t="str"/>
      <x:c r="K19" s="110" t="str"/>
      <x:c r="L19" s="110" t="str"/>
      <x:c r="M19" s="110" t="str"/>
      <x:c r="N19" s="110" t="str"/>
      <x:c r="O19" s="110" t="str"/>
      <x:c r="P19" s="112" t="str"/>
      <x:c r="Q19" s="110" t="str"/>
      <x:c r="R19" s="110" t="str"/>
      <x:c r="S19" s="110" t="str"/>
    </x:row>
    <x:row r="20" ht="34" customHeight="1">
      <x:c r="A20" s="110" t="str"/>
      <x:c r="B20" s="110" t="str"/>
      <x:c r="C20" s="110" t="str"/>
      <x:c r="D20" s="110" t="str"/>
      <x:c r="E20" s="110" t="str"/>
      <x:c r="F20" s="110" t="str"/>
      <x:c r="G20" s="110" t="str"/>
      <x:c r="H20" s="110" t="str"/>
      <x:c r="I20" s="110" t="str"/>
      <x:c r="J20" s="110" t="str"/>
      <x:c r="K20" s="110" t="str"/>
      <x:c r="L20" s="110" t="str"/>
      <x:c r="M20" s="110" t="str"/>
      <x:c r="N20" s="110" t="str"/>
      <x:c r="O20" s="110" t="str"/>
      <x:c r="P20" s="112" t="str"/>
      <x:c r="Q20" s="110" t="str"/>
      <x:c r="R20" s="110" t="str"/>
      <x:c r="S20" s="110" t="str"/>
    </x:row>
    <x:row r="21" ht="34" customHeight="1">
      <x:c r="A21" s="110" t="str"/>
      <x:c r="B21" s="110" t="str"/>
      <x:c r="C21" s="110" t="str"/>
      <x:c r="D21" s="110" t="str"/>
      <x:c r="E21" s="110" t="str"/>
      <x:c r="F21" s="110" t="str"/>
      <x:c r="G21" s="110" t="str"/>
      <x:c r="H21" s="110" t="str"/>
      <x:c r="I21" s="110" t="str"/>
      <x:c r="J21" s="110" t="str"/>
      <x:c r="K21" s="110" t="str"/>
      <x:c r="L21" s="110" t="str"/>
      <x:c r="M21" s="110" t="str"/>
      <x:c r="N21" s="110" t="str"/>
      <x:c r="O21" s="110" t="str"/>
      <x:c r="P21" s="112" t="str"/>
      <x:c r="Q21" s="110" t="str"/>
      <x:c r="R21" s="110" t="str"/>
      <x:c r="S21" s="110" t="str"/>
    </x:row>
    <x:row r="22" ht="34" customHeight="1">
      <x:c r="A22" s="110" t="str"/>
      <x:c r="B22" s="110" t="str"/>
      <x:c r="C22" s="110" t="str"/>
      <x:c r="D22" s="110" t="str"/>
      <x:c r="E22" s="110" t="str"/>
      <x:c r="F22" s="110" t="str"/>
      <x:c r="G22" s="110" t="str"/>
      <x:c r="H22" s="110" t="str"/>
      <x:c r="I22" s="110" t="str"/>
      <x:c r="J22" s="110" t="str"/>
      <x:c r="K22" s="110" t="str"/>
      <x:c r="L22" s="110" t="str"/>
      <x:c r="M22" s="110" t="str"/>
      <x:c r="N22" s="110" t="str"/>
      <x:c r="O22" s="110" t="str"/>
      <x:c r="P22" s="112" t="str"/>
      <x:c r="Q22" s="110" t="str"/>
      <x:c r="R22" s="110" t="str"/>
      <x:c r="S22" s="110" t="str"/>
    </x:row>
    <x:row r="23" ht="34" customHeight="1">
      <x:c r="A23" s="110" t="str"/>
      <x:c r="B23" s="110" t="str"/>
      <x:c r="C23" s="110" t="str"/>
      <x:c r="D23" s="110" t="str"/>
      <x:c r="E23" s="110" t="str"/>
      <x:c r="F23" s="110" t="str"/>
      <x:c r="G23" s="110" t="str"/>
      <x:c r="H23" s="110" t="str"/>
      <x:c r="I23" s="110" t="str"/>
      <x:c r="J23" s="110" t="str"/>
      <x:c r="K23" s="110" t="str"/>
      <x:c r="L23" s="110" t="str"/>
      <x:c r="M23" s="110" t="str"/>
      <x:c r="N23" s="110" t="str"/>
      <x:c r="O23" s="110" t="str"/>
      <x:c r="P23" s="112" t="str"/>
      <x:c r="Q23" s="110" t="str"/>
      <x:c r="R23" s="110" t="str"/>
      <x:c r="S23" s="110" t="str"/>
    </x:row>
    <x:row r="24" ht="34" customHeight="1">
      <x:c r="A24" s="110" t="str"/>
      <x:c r="B24" s="110" t="str"/>
      <x:c r="C24" s="110" t="str"/>
      <x:c r="D24" s="110" t="str"/>
      <x:c r="E24" s="110" t="str"/>
      <x:c r="F24" s="110" t="str"/>
      <x:c r="G24" s="110" t="str"/>
      <x:c r="H24" s="110" t="str"/>
      <x:c r="I24" s="110" t="str"/>
      <x:c r="J24" s="110" t="str"/>
      <x:c r="K24" s="110" t="str"/>
      <x:c r="L24" s="110" t="str"/>
      <x:c r="M24" s="110" t="str"/>
      <x:c r="N24" s="110" t="str"/>
      <x:c r="O24" s="110" t="str"/>
      <x:c r="P24" s="112" t="str"/>
      <x:c r="Q24" s="110" t="str"/>
      <x:c r="R24" s="110" t="str"/>
      <x:c r="S24" s="110" t="str"/>
    </x:row>
    <x:row r="25" ht="34" customHeight="1">
      <x:c r="A25" s="110" t="str"/>
      <x:c r="B25" s="110" t="str"/>
      <x:c r="C25" s="110" t="str"/>
      <x:c r="D25" s="110" t="str"/>
      <x:c r="E25" s="110" t="str"/>
      <x:c r="F25" s="110" t="str"/>
      <x:c r="G25" s="110" t="str"/>
      <x:c r="H25" s="110" t="str"/>
      <x:c r="I25" s="110" t="str"/>
      <x:c r="J25" s="110" t="str"/>
      <x:c r="K25" s="110" t="str"/>
      <x:c r="L25" s="110" t="str"/>
      <x:c r="M25" s="110" t="str"/>
      <x:c r="N25" s="110" t="str"/>
      <x:c r="O25" s="110" t="str"/>
      <x:c r="P25" s="112" t="str"/>
      <x:c r="Q25" s="110" t="str"/>
      <x:c r="R25" s="110" t="str"/>
      <x:c r="S25" s="110" t="str"/>
    </x:row>
    <x:row r="26" ht="34" customHeight="1">
      <x:c r="A26" s="110" t="str"/>
      <x:c r="B26" s="110" t="str"/>
      <x:c r="C26" s="110" t="str"/>
      <x:c r="D26" s="110" t="str"/>
      <x:c r="E26" s="110" t="str"/>
      <x:c r="F26" s="110" t="str"/>
      <x:c r="G26" s="110" t="str"/>
      <x:c r="H26" s="110" t="str"/>
      <x:c r="I26" s="110" t="str"/>
      <x:c r="J26" s="110" t="str"/>
      <x:c r="K26" s="110" t="str"/>
      <x:c r="L26" s="110" t="str"/>
      <x:c r="M26" s="110" t="str"/>
      <x:c r="N26" s="110" t="str"/>
      <x:c r="O26" s="110" t="str"/>
      <x:c r="P26" s="112" t="str"/>
      <x:c r="Q26" s="110" t="str"/>
      <x:c r="R26" s="110" t="str"/>
      <x:c r="S26" s="110" t="str"/>
    </x:row>
    <x:row r="27" ht="34" customHeight="1">
      <x:c r="A27" s="110" t="str"/>
      <x:c r="B27" s="110" t="str"/>
      <x:c r="C27" s="110" t="str"/>
      <x:c r="D27" s="110" t="str"/>
      <x:c r="E27" s="110" t="str"/>
      <x:c r="F27" s="110" t="str"/>
      <x:c r="G27" s="110" t="str"/>
      <x:c r="H27" s="110" t="str"/>
      <x:c r="I27" s="110" t="str"/>
      <x:c r="J27" s="110" t="str"/>
      <x:c r="K27" s="110" t="str"/>
      <x:c r="L27" s="110" t="str"/>
      <x:c r="M27" s="110" t="str"/>
      <x:c r="N27" s="110" t="str"/>
      <x:c r="O27" s="110" t="str"/>
      <x:c r="P27" s="112" t="str"/>
      <x:c r="Q27" s="110" t="str"/>
      <x:c r="R27" s="110" t="str"/>
      <x:c r="S27" s="110" t="str"/>
    </x:row>
    <x:row r="28" ht="34" customHeight="1">
      <x:c r="A28" s="110" t="str"/>
      <x:c r="B28" s="110" t="str"/>
      <x:c r="C28" s="110" t="str"/>
      <x:c r="D28" s="110" t="str"/>
      <x:c r="E28" s="110" t="str"/>
      <x:c r="F28" s="110" t="str"/>
      <x:c r="G28" s="110" t="str"/>
      <x:c r="H28" s="110" t="str"/>
      <x:c r="I28" s="110" t="str"/>
      <x:c r="J28" s="110" t="str"/>
      <x:c r="K28" s="110" t="str"/>
      <x:c r="L28" s="110" t="str"/>
      <x:c r="M28" s="110" t="str"/>
      <x:c r="N28" s="110" t="str"/>
      <x:c r="O28" s="110" t="str"/>
      <x:c r="P28" s="112" t="str"/>
      <x:c r="Q28" s="110" t="str"/>
      <x:c r="R28" s="110" t="str"/>
      <x:c r="S28" s="110" t="str"/>
    </x:row>
    <x:row r="29" ht="34" customHeight="1">
      <x:c r="A29" s="110" t="str"/>
      <x:c r="B29" s="110" t="str"/>
      <x:c r="C29" s="110" t="str"/>
      <x:c r="D29" s="110" t="str"/>
      <x:c r="E29" s="110" t="str"/>
      <x:c r="F29" s="110" t="str"/>
      <x:c r="G29" s="110" t="str"/>
      <x:c r="H29" s="110" t="str"/>
      <x:c r="I29" s="110" t="str"/>
      <x:c r="J29" s="110" t="str"/>
      <x:c r="K29" s="110" t="str"/>
      <x:c r="L29" s="110" t="str"/>
      <x:c r="M29" s="110" t="str"/>
      <x:c r="N29" s="110" t="str"/>
      <x:c r="O29" s="110" t="str"/>
      <x:c r="P29" s="112" t="str"/>
      <x:c r="Q29" s="110" t="str"/>
      <x:c r="R29" s="110" t="str"/>
      <x:c r="S29" s="110" t="str"/>
    </x:row>
    <x:row r="30" ht="34" customHeight="1">
      <x:c r="A30" s="110" t="str"/>
      <x:c r="B30" s="110" t="str"/>
      <x:c r="C30" s="110" t="str"/>
      <x:c r="D30" s="110" t="str"/>
      <x:c r="E30" s="110" t="str"/>
      <x:c r="F30" s="110" t="str"/>
      <x:c r="G30" s="110" t="str"/>
      <x:c r="H30" s="110" t="str"/>
      <x:c r="I30" s="110" t="str"/>
      <x:c r="J30" s="110" t="str"/>
      <x:c r="K30" s="110" t="str"/>
      <x:c r="L30" s="110" t="str"/>
      <x:c r="M30" s="110" t="str"/>
      <x:c r="N30" s="110" t="str"/>
      <x:c r="O30" s="110" t="str"/>
      <x:c r="P30" s="112" t="str"/>
      <x:c r="Q30" s="110" t="str"/>
      <x:c r="R30" s="110" t="str"/>
      <x:c r="S30" s="110" t="str"/>
    </x:row>
    <x:row r="31" ht="34" customHeight="1">
      <x:c r="A31" s="110" t="str"/>
      <x:c r="B31" s="110" t="str"/>
      <x:c r="C31" s="110" t="str"/>
      <x:c r="D31" s="110" t="str"/>
      <x:c r="E31" s="110" t="str"/>
      <x:c r="F31" s="110" t="str"/>
      <x:c r="G31" s="110" t="str"/>
      <x:c r="H31" s="110" t="str"/>
      <x:c r="I31" s="110" t="str"/>
      <x:c r="J31" s="110" t="str"/>
      <x:c r="K31" s="110" t="str"/>
      <x:c r="L31" s="110" t="str"/>
      <x:c r="M31" s="110" t="str"/>
      <x:c r="N31" s="110" t="str"/>
      <x:c r="O31" s="110" t="str"/>
      <x:c r="P31" s="112" t="str"/>
      <x:c r="Q31" s="110" t="str"/>
      <x:c r="R31" s="110" t="str"/>
      <x:c r="S31" s="110" t="str"/>
    </x:row>
    <x:row r="32" ht="34" customHeight="1">
      <x:c r="A32" s="110" t="str"/>
      <x:c r="B32" s="110" t="str"/>
      <x:c r="C32" s="110" t="str"/>
      <x:c r="D32" s="110" t="str"/>
      <x:c r="E32" s="110" t="str"/>
      <x:c r="F32" s="110" t="str"/>
      <x:c r="G32" s="110" t="str"/>
      <x:c r="H32" s="110" t="str"/>
      <x:c r="I32" s="110" t="str"/>
      <x:c r="J32" s="110" t="str"/>
      <x:c r="K32" s="110" t="str"/>
      <x:c r="L32" s="110" t="str"/>
      <x:c r="M32" s="110" t="str"/>
      <x:c r="N32" s="110" t="str"/>
      <x:c r="O32" s="110" t="str"/>
      <x:c r="P32" s="112" t="str"/>
      <x:c r="Q32" s="110" t="str"/>
      <x:c r="R32" s="110" t="str"/>
      <x:c r="S32" s="110" t="str"/>
    </x:row>
    <x:row r="33" ht="34" customHeight="1">
      <x:c r="A33" s="110" t="str"/>
      <x:c r="B33" s="110" t="str"/>
      <x:c r="C33" s="110" t="str"/>
      <x:c r="D33" s="110" t="str"/>
      <x:c r="E33" s="110" t="str"/>
      <x:c r="F33" s="110" t="str"/>
      <x:c r="G33" s="110" t="str"/>
      <x:c r="H33" s="110" t="str"/>
      <x:c r="I33" s="110" t="str"/>
      <x:c r="J33" s="110" t="str"/>
      <x:c r="K33" s="110" t="str"/>
      <x:c r="L33" s="110" t="str"/>
      <x:c r="M33" s="110" t="str"/>
      <x:c r="N33" s="110" t="str"/>
      <x:c r="O33" s="110" t="str"/>
      <x:c r="P33" s="112" t="str"/>
      <x:c r="Q33" s="110" t="str"/>
      <x:c r="R33" s="110" t="str"/>
      <x:c r="S33" s="110" t="str"/>
    </x:row>
    <x:row r="34" ht="34" customHeight="1">
      <x:c r="A34" s="110" t="str"/>
      <x:c r="B34" s="110" t="str"/>
      <x:c r="C34" s="110" t="str"/>
      <x:c r="D34" s="110" t="str"/>
      <x:c r="E34" s="110" t="str"/>
      <x:c r="F34" s="110" t="str"/>
      <x:c r="G34" s="110" t="str"/>
      <x:c r="H34" s="110" t="str"/>
      <x:c r="I34" s="110" t="str"/>
      <x:c r="J34" s="110" t="str"/>
      <x:c r="K34" s="110" t="str"/>
      <x:c r="L34" s="110" t="str"/>
      <x:c r="M34" s="110" t="str"/>
      <x:c r="N34" s="110" t="str"/>
      <x:c r="O34" s="110" t="str"/>
      <x:c r="P34" s="112" t="str"/>
      <x:c r="Q34" s="110" t="str"/>
      <x:c r="R34" s="110" t="str"/>
      <x:c r="S34" s="110" t="str"/>
    </x:row>
    <x:row r="35" ht="34" customHeight="1">
      <x:c r="A35" s="110" t="str"/>
      <x:c r="B35" s="110" t="str"/>
      <x:c r="C35" s="110" t="str"/>
      <x:c r="D35" s="110" t="str"/>
      <x:c r="E35" s="110" t="str"/>
      <x:c r="F35" s="110" t="str"/>
      <x:c r="G35" s="110" t="str"/>
      <x:c r="H35" s="110" t="str"/>
      <x:c r="I35" s="110" t="str"/>
      <x:c r="J35" s="110" t="str"/>
      <x:c r="K35" s="110" t="str"/>
      <x:c r="L35" s="110" t="str"/>
      <x:c r="M35" s="110" t="str"/>
      <x:c r="N35" s="110" t="str"/>
      <x:c r="O35" s="110" t="str"/>
      <x:c r="P35" s="112" t="str"/>
      <x:c r="Q35" s="110" t="str"/>
      <x:c r="R35" s="110" t="str"/>
      <x:c r="S35" s="110" t="str"/>
    </x:row>
    <x:row r="36" ht="34" customHeight="1">
      <x:c r="A36" s="110" t="str"/>
      <x:c r="B36" s="110" t="str"/>
      <x:c r="C36" s="110" t="str"/>
      <x:c r="D36" s="110" t="str"/>
      <x:c r="E36" s="110" t="str"/>
      <x:c r="F36" s="110" t="str"/>
      <x:c r="G36" s="110" t="str"/>
      <x:c r="H36" s="110" t="str"/>
      <x:c r="I36" s="110" t="str"/>
      <x:c r="J36" s="110" t="str"/>
      <x:c r="K36" s="110" t="str"/>
      <x:c r="L36" s="110" t="str"/>
      <x:c r="M36" s="110" t="str"/>
      <x:c r="N36" s="110" t="str"/>
      <x:c r="O36" s="110" t="str"/>
      <x:c r="P36" s="112" t="str"/>
      <x:c r="Q36" s="110" t="str"/>
      <x:c r="R36" s="110" t="str"/>
      <x:c r="S36" s="110" t="str"/>
    </x:row>
    <x:row r="37" ht="34" customHeight="1">
      <x:c r="A37" s="110" t="str"/>
      <x:c r="B37" s="110" t="str"/>
      <x:c r="C37" s="110" t="str"/>
      <x:c r="D37" s="110" t="str"/>
      <x:c r="E37" s="110" t="str"/>
      <x:c r="F37" s="110" t="str"/>
      <x:c r="G37" s="110" t="str"/>
      <x:c r="H37" s="110" t="str"/>
      <x:c r="I37" s="110" t="str"/>
      <x:c r="J37" s="110" t="str"/>
      <x:c r="K37" s="110" t="str"/>
      <x:c r="L37" s="110" t="str"/>
      <x:c r="M37" s="110" t="str"/>
      <x:c r="N37" s="110" t="str"/>
      <x:c r="O37" s="110" t="str"/>
      <x:c r="P37" s="112" t="str"/>
      <x:c r="Q37" s="110" t="str"/>
      <x:c r="R37" s="110" t="str"/>
      <x:c r="S37" s="110" t="str"/>
    </x:row>
    <x:row r="38" ht="34" customHeight="1">
      <x:c r="A38" s="110" t="str"/>
      <x:c r="B38" s="110" t="str"/>
      <x:c r="C38" s="110" t="str"/>
      <x:c r="D38" s="110" t="str"/>
      <x:c r="E38" s="110" t="str"/>
      <x:c r="F38" s="110" t="str"/>
      <x:c r="G38" s="110" t="str"/>
      <x:c r="H38" s="110" t="str"/>
      <x:c r="I38" s="110" t="str"/>
      <x:c r="J38" s="110" t="str"/>
      <x:c r="K38" s="110" t="str"/>
      <x:c r="L38" s="110" t="str"/>
      <x:c r="M38" s="110" t="str"/>
      <x:c r="N38" s="110" t="str"/>
      <x:c r="O38" s="110" t="str"/>
      <x:c r="P38" s="112" t="str"/>
      <x:c r="Q38" s="110" t="str"/>
      <x:c r="R38" s="110" t="str"/>
      <x:c r="S38" s="110" t="str"/>
    </x:row>
    <x:row r="39" ht="34" customHeight="1">
      <x:c r="A39" s="110" t="str"/>
      <x:c r="B39" s="110" t="str"/>
      <x:c r="C39" s="110" t="str"/>
      <x:c r="D39" s="110" t="str"/>
      <x:c r="E39" s="110" t="str"/>
      <x:c r="F39" s="110" t="str"/>
      <x:c r="G39" s="110" t="str"/>
      <x:c r="H39" s="110" t="str"/>
      <x:c r="I39" s="110" t="str"/>
      <x:c r="J39" s="110" t="str"/>
      <x:c r="K39" s="110" t="str"/>
      <x:c r="L39" s="110" t="str"/>
      <x:c r="M39" s="110" t="str"/>
      <x:c r="N39" s="110" t="str"/>
      <x:c r="O39" s="110" t="str"/>
      <x:c r="P39" s="112" t="str"/>
      <x:c r="Q39" s="110" t="str"/>
      <x:c r="R39" s="110" t="str"/>
      <x:c r="S39" s="110" t="str"/>
    </x:row>
    <x:row r="40" ht="34" customHeight="1">
      <x:c r="A40" s="110" t="str"/>
      <x:c r="B40" s="110" t="str"/>
      <x:c r="C40" s="110" t="str"/>
      <x:c r="D40" s="110" t="str"/>
      <x:c r="E40" s="110" t="str"/>
      <x:c r="F40" s="110" t="str"/>
      <x:c r="G40" s="110" t="str"/>
      <x:c r="H40" s="110" t="str"/>
      <x:c r="I40" s="110" t="str"/>
      <x:c r="J40" s="110" t="str"/>
      <x:c r="K40" s="110" t="str"/>
      <x:c r="L40" s="110" t="str"/>
      <x:c r="M40" s="110" t="str"/>
      <x:c r="N40" s="110" t="str"/>
      <x:c r="O40" s="110" t="str"/>
      <x:c r="P40" s="112" t="str"/>
      <x:c r="Q40" s="110" t="str"/>
      <x:c r="R40" s="110" t="str"/>
      <x:c r="S40" s="110" t="str"/>
    </x:row>
    <x:row r="41" ht="34" customHeight="1">
      <x:c r="A41" s="110" t="str"/>
      <x:c r="B41" s="110" t="str"/>
      <x:c r="C41" s="110" t="str"/>
      <x:c r="D41" s="110" t="str"/>
      <x:c r="E41" s="110" t="str"/>
      <x:c r="F41" s="110" t="str"/>
      <x:c r="G41" s="110" t="str"/>
      <x:c r="H41" s="110" t="str"/>
      <x:c r="I41" s="110" t="str"/>
      <x:c r="J41" s="110" t="str"/>
      <x:c r="K41" s="110" t="str"/>
      <x:c r="L41" s="110" t="str"/>
      <x:c r="M41" s="110" t="str"/>
      <x:c r="N41" s="110" t="str"/>
      <x:c r="O41" s="110" t="str"/>
      <x:c r="P41" s="112" t="str"/>
      <x:c r="Q41" s="110" t="str"/>
      <x:c r="R41" s="110" t="str"/>
      <x:c r="S41" s="110" t="str"/>
    </x:row>
    <x:row r="42" ht="34" customHeight="1">
      <x:c r="A42" s="110" t="str"/>
      <x:c r="B42" s="110" t="str"/>
      <x:c r="C42" s="110" t="str"/>
      <x:c r="D42" s="110" t="str"/>
      <x:c r="E42" s="110" t="str"/>
      <x:c r="F42" s="110" t="str"/>
      <x:c r="G42" s="110" t="str"/>
      <x:c r="H42" s="110" t="str"/>
      <x:c r="I42" s="110" t="str"/>
      <x:c r="J42" s="110" t="str"/>
      <x:c r="K42" s="110" t="str"/>
      <x:c r="L42" s="110" t="str"/>
      <x:c r="M42" s="110" t="str"/>
      <x:c r="N42" s="110" t="str"/>
      <x:c r="O42" s="110" t="str"/>
      <x:c r="P42" s="112" t="str"/>
      <x:c r="Q42" s="110" t="str"/>
      <x:c r="R42" s="110" t="str"/>
      <x:c r="S42" s="110" t="str"/>
    </x:row>
    <x:row r="43" ht="34" customHeight="1">
      <x:c r="A43" s="110" t="str"/>
      <x:c r="B43" s="110" t="str"/>
      <x:c r="C43" s="110" t="str"/>
      <x:c r="D43" s="110" t="str"/>
      <x:c r="E43" s="110" t="str"/>
      <x:c r="F43" s="110" t="str"/>
      <x:c r="G43" s="110" t="str"/>
      <x:c r="H43" s="110" t="str"/>
      <x:c r="I43" s="110" t="str"/>
      <x:c r="J43" s="110" t="str"/>
      <x:c r="K43" s="110" t="str"/>
      <x:c r="L43" s="110" t="str"/>
      <x:c r="M43" s="110" t="str"/>
      <x:c r="N43" s="110" t="str"/>
      <x:c r="O43" s="110" t="str"/>
      <x:c r="P43" s="112" t="str"/>
      <x:c r="Q43" s="110" t="str"/>
      <x:c r="R43" s="110" t="str"/>
      <x:c r="S43" s="110" t="str"/>
    </x:row>
    <x:row r="44" ht="34" customHeight="1">
      <x:c r="A44" s="110" t="str"/>
      <x:c r="B44" s="110" t="str"/>
      <x:c r="C44" s="110" t="str"/>
      <x:c r="D44" s="110" t="str"/>
      <x:c r="E44" s="110" t="str"/>
      <x:c r="F44" s="110" t="str"/>
      <x:c r="G44" s="110" t="str"/>
      <x:c r="H44" s="110" t="str"/>
      <x:c r="I44" s="110" t="str"/>
      <x:c r="J44" s="110" t="str"/>
      <x:c r="K44" s="110" t="str"/>
      <x:c r="L44" s="110" t="str"/>
      <x:c r="M44" s="110" t="str"/>
      <x:c r="N44" s="110" t="str"/>
      <x:c r="O44" s="110" t="str"/>
      <x:c r="P44" s="112" t="str"/>
      <x:c r="Q44" s="110" t="str"/>
      <x:c r="R44" s="110" t="str"/>
      <x:c r="S44" s="110" t="str"/>
    </x:row>
    <x:row r="45" ht="34" customHeight="1">
      <x:c r="A45" s="110" t="str"/>
      <x:c r="B45" s="110" t="str"/>
      <x:c r="C45" s="110" t="str"/>
      <x:c r="D45" s="110" t="str"/>
      <x:c r="E45" s="110" t="str"/>
      <x:c r="F45" s="110" t="str"/>
      <x:c r="G45" s="110" t="str"/>
      <x:c r="H45" s="110" t="str"/>
      <x:c r="I45" s="110" t="str"/>
      <x:c r="J45" s="110" t="str"/>
      <x:c r="K45" s="110" t="str"/>
      <x:c r="L45" s="110" t="str"/>
      <x:c r="M45" s="110" t="str"/>
      <x:c r="N45" s="110" t="str"/>
      <x:c r="O45" s="110" t="str"/>
      <x:c r="P45" s="112" t="str"/>
      <x:c r="Q45" s="110" t="str"/>
      <x:c r="R45" s="110" t="str"/>
      <x:c r="S45" s="110" t="str"/>
    </x:row>
    <x:row r="46" ht="34" customHeight="1">
      <x:c r="A46" s="110" t="str"/>
      <x:c r="B46" s="110" t="str"/>
      <x:c r="C46" s="110" t="str"/>
      <x:c r="D46" s="110" t="str"/>
      <x:c r="E46" s="110" t="str"/>
      <x:c r="F46" s="110" t="str"/>
      <x:c r="G46" s="110" t="str"/>
      <x:c r="H46" s="110" t="str"/>
      <x:c r="I46" s="110" t="str"/>
      <x:c r="J46" s="110" t="str"/>
      <x:c r="K46" s="110" t="str"/>
      <x:c r="L46" s="110" t="str"/>
      <x:c r="M46" s="110" t="str"/>
      <x:c r="N46" s="110" t="str"/>
      <x:c r="O46" s="110" t="str"/>
      <x:c r="P46" s="112" t="str"/>
      <x:c r="Q46" s="110" t="str"/>
      <x:c r="R46" s="110" t="str"/>
      <x:c r="S46" s="110" t="str"/>
    </x:row>
    <x:row r="47" ht="34" customHeight="1">
      <x:c r="A47" s="110" t="str"/>
      <x:c r="B47" s="110" t="str"/>
      <x:c r="C47" s="110" t="str"/>
      <x:c r="D47" s="110" t="str"/>
      <x:c r="E47" s="110" t="str"/>
      <x:c r="F47" s="110" t="str"/>
      <x:c r="G47" s="110" t="str"/>
      <x:c r="H47" s="110" t="str"/>
      <x:c r="I47" s="110" t="str"/>
      <x:c r="J47" s="110" t="str"/>
      <x:c r="K47" s="110" t="str"/>
      <x:c r="L47" s="110" t="str"/>
      <x:c r="M47" s="110" t="str"/>
      <x:c r="N47" s="110" t="str"/>
      <x:c r="O47" s="110" t="str"/>
      <x:c r="P47" s="112" t="str"/>
      <x:c r="Q47" s="110" t="str"/>
      <x:c r="R47" s="110" t="str"/>
      <x:c r="S47" s="110" t="str"/>
    </x:row>
    <x:row r="48" ht="34" customHeight="1">
      <x:c r="A48" s="110" t="str"/>
      <x:c r="B48" s="110" t="str"/>
      <x:c r="C48" s="110" t="str"/>
      <x:c r="D48" s="110" t="str"/>
      <x:c r="E48" s="110" t="str"/>
      <x:c r="F48" s="110" t="str"/>
      <x:c r="G48" s="110" t="str"/>
      <x:c r="H48" s="110" t="str"/>
      <x:c r="I48" s="110" t="str"/>
      <x:c r="J48" s="110" t="str"/>
      <x:c r="K48" s="110" t="str"/>
      <x:c r="L48" s="110" t="str"/>
      <x:c r="M48" s="110" t="str"/>
      <x:c r="N48" s="110" t="str"/>
      <x:c r="O48" s="110" t="str"/>
      <x:c r="P48" s="112" t="str"/>
      <x:c r="Q48" s="110" t="str"/>
      <x:c r="R48" s="110" t="str"/>
      <x:c r="S48" s="110" t="str"/>
    </x:row>
    <x:row r="49" ht="34" customHeight="1">
      <x:c r="A49" s="110" t="str"/>
      <x:c r="B49" s="110" t="str"/>
      <x:c r="C49" s="110" t="str"/>
      <x:c r="D49" s="110" t="str"/>
      <x:c r="E49" s="110" t="str"/>
      <x:c r="F49" s="110" t="str"/>
      <x:c r="G49" s="110" t="str"/>
      <x:c r="H49" s="110" t="str"/>
      <x:c r="I49" s="110" t="str"/>
      <x:c r="J49" s="110" t="str"/>
      <x:c r="K49" s="110" t="str"/>
      <x:c r="L49" s="110" t="str"/>
      <x:c r="M49" s="110" t="str"/>
      <x:c r="N49" s="110" t="str"/>
      <x:c r="O49" s="110" t="str"/>
      <x:c r="P49" s="112" t="str"/>
      <x:c r="Q49" s="110" t="str"/>
      <x:c r="R49" s="110" t="str"/>
      <x:c r="S49" s="110" t="str"/>
    </x:row>
    <x:row r="50" ht="34" customHeight="1">
      <x:c r="A50" s="110" t="str"/>
      <x:c r="B50" s="110" t="str"/>
      <x:c r="C50" s="110" t="str"/>
      <x:c r="D50" s="110" t="str"/>
      <x:c r="E50" s="110" t="str"/>
      <x:c r="F50" s="110" t="str"/>
      <x:c r="G50" s="110" t="str"/>
      <x:c r="H50" s="110" t="str"/>
      <x:c r="I50" s="110" t="str"/>
      <x:c r="J50" s="110" t="str"/>
      <x:c r="K50" s="110" t="str"/>
      <x:c r="L50" s="110" t="str"/>
      <x:c r="M50" s="110" t="str"/>
      <x:c r="N50" s="110" t="str"/>
      <x:c r="O50" s="110" t="str"/>
      <x:c r="P50" s="112" t="str"/>
      <x:c r="Q50" s="110" t="str"/>
      <x:c r="R50" s="110" t="str"/>
      <x:c r="S50" s="110" t="str"/>
    </x:row>
    <x:row r="51" ht="34" customHeight="1">
      <x:c r="A51" s="110" t="str"/>
      <x:c r="B51" s="110" t="str"/>
      <x:c r="C51" s="110" t="str"/>
      <x:c r="D51" s="110" t="str"/>
      <x:c r="E51" s="110" t="str"/>
      <x:c r="F51" s="110" t="str"/>
      <x:c r="G51" s="110" t="str"/>
      <x:c r="H51" s="110" t="str"/>
      <x:c r="I51" s="110" t="str"/>
      <x:c r="J51" s="110" t="str"/>
      <x:c r="K51" s="110" t="str"/>
      <x:c r="L51" s="110" t="str"/>
      <x:c r="M51" s="110" t="str"/>
      <x:c r="N51" s="110" t="str"/>
      <x:c r="O51" s="110" t="str"/>
      <x:c r="P51" s="112" t="str"/>
      <x:c r="Q51" s="110" t="str"/>
      <x:c r="R51" s="110" t="str"/>
      <x:c r="S51" s="110" t="str"/>
    </x:row>
    <x:row r="52" ht="34" customHeight="1">
      <x:c r="A52" s="110" t="str"/>
      <x:c r="B52" s="110" t="str"/>
      <x:c r="C52" s="110" t="str"/>
      <x:c r="D52" s="110" t="str"/>
      <x:c r="E52" s="110" t="str"/>
      <x:c r="F52" s="110" t="str"/>
      <x:c r="G52" s="110" t="str"/>
      <x:c r="H52" s="110" t="str"/>
      <x:c r="I52" s="110" t="str"/>
      <x:c r="J52" s="110" t="str"/>
      <x:c r="K52" s="110" t="str"/>
      <x:c r="L52" s="110" t="str"/>
      <x:c r="M52" s="110" t="str"/>
      <x:c r="N52" s="110" t="str"/>
      <x:c r="O52" s="110" t="str"/>
      <x:c r="P52" s="112" t="str"/>
      <x:c r="Q52" s="110" t="str"/>
      <x:c r="R52" s="110" t="str"/>
      <x:c r="S52" s="110" t="str"/>
    </x:row>
    <x:row r="53" ht="34" customHeight="1">
      <x:c r="A53" s="110" t="str"/>
      <x:c r="B53" s="110" t="str"/>
      <x:c r="C53" s="110" t="str"/>
      <x:c r="D53" s="110" t="str"/>
      <x:c r="E53" s="110" t="str"/>
      <x:c r="F53" s="110" t="str"/>
      <x:c r="G53" s="110" t="str"/>
      <x:c r="H53" s="110" t="str"/>
      <x:c r="I53" s="110" t="str"/>
      <x:c r="J53" s="110" t="str"/>
      <x:c r="K53" s="110" t="str"/>
      <x:c r="L53" s="110" t="str"/>
      <x:c r="M53" s="110" t="str"/>
      <x:c r="N53" s="110" t="str"/>
      <x:c r="O53" s="110" t="str"/>
      <x:c r="P53" s="112" t="str"/>
      <x:c r="Q53" s="110" t="str"/>
      <x:c r="R53" s="110" t="str"/>
      <x:c r="S53" s="110" t="str"/>
    </x:row>
    <x:row r="54" ht="34" customHeight="1">
      <x:c r="A54" s="110" t="str"/>
      <x:c r="B54" s="110" t="str"/>
      <x:c r="C54" s="110" t="str"/>
      <x:c r="D54" s="110" t="str"/>
      <x:c r="E54" s="110" t="str"/>
      <x:c r="F54" s="110" t="str"/>
      <x:c r="G54" s="110" t="str"/>
      <x:c r="H54" s="110" t="str"/>
      <x:c r="I54" s="110" t="str"/>
      <x:c r="J54" s="110" t="str"/>
      <x:c r="K54" s="110" t="str"/>
      <x:c r="L54" s="110" t="str"/>
      <x:c r="M54" s="110" t="str"/>
      <x:c r="N54" s="110" t="str"/>
      <x:c r="O54" s="110" t="str"/>
      <x:c r="P54" s="112" t="str"/>
      <x:c r="Q54" s="110" t="str"/>
      <x:c r="R54" s="110" t="str"/>
      <x:c r="S54" s="110" t="str"/>
    </x:row>
    <x:row r="55" ht="34" customHeight="1">
      <x:c r="A55" s="110" t="str"/>
      <x:c r="B55" s="110" t="str"/>
      <x:c r="C55" s="110" t="str"/>
      <x:c r="D55" s="110" t="str"/>
      <x:c r="E55" s="110" t="str"/>
      <x:c r="F55" s="110" t="str"/>
      <x:c r="G55" s="110" t="str"/>
      <x:c r="H55" s="110" t="str"/>
      <x:c r="I55" s="110" t="str"/>
      <x:c r="J55" s="110" t="str"/>
      <x:c r="K55" s="110" t="str"/>
      <x:c r="L55" s="110" t="str"/>
      <x:c r="M55" s="110" t="str"/>
      <x:c r="N55" s="110" t="str"/>
      <x:c r="O55" s="110" t="str"/>
      <x:c r="P55" s="112" t="str"/>
      <x:c r="Q55" s="110" t="str"/>
      <x:c r="R55" s="110" t="str"/>
      <x:c r="S55" s="110" t="str"/>
    </x:row>
    <x:row r="56" ht="34" customHeight="1">
      <x:c r="A56" s="110" t="str"/>
      <x:c r="B56" s="110" t="str"/>
      <x:c r="C56" s="110" t="str"/>
      <x:c r="D56" s="110" t="str"/>
      <x:c r="E56" s="110" t="str"/>
      <x:c r="F56" s="110" t="str"/>
      <x:c r="G56" s="110" t="str"/>
      <x:c r="H56" s="110" t="str"/>
      <x:c r="I56" s="110" t="str"/>
      <x:c r="J56" s="110" t="str"/>
      <x:c r="K56" s="110" t="str"/>
      <x:c r="L56" s="110" t="str"/>
      <x:c r="M56" s="110" t="str"/>
      <x:c r="N56" s="110" t="str"/>
      <x:c r="O56" s="110" t="str"/>
      <x:c r="P56" s="112" t="str"/>
      <x:c r="Q56" s="110" t="str"/>
      <x:c r="R56" s="110" t="str"/>
      <x:c r="S56" s="110" t="str"/>
    </x:row>
    <x:row r="57" ht="34" customHeight="1">
      <x:c r="A57" s="110" t="str"/>
      <x:c r="B57" s="110" t="str"/>
      <x:c r="C57" s="110" t="str"/>
      <x:c r="D57" s="110" t="str"/>
      <x:c r="E57" s="110" t="str"/>
      <x:c r="F57" s="110" t="str"/>
      <x:c r="G57" s="110" t="str"/>
      <x:c r="H57" s="110" t="str"/>
      <x:c r="I57" s="110" t="str"/>
      <x:c r="J57" s="110" t="str"/>
      <x:c r="K57" s="110" t="str"/>
      <x:c r="L57" s="110" t="str"/>
      <x:c r="M57" s="110" t="str"/>
      <x:c r="N57" s="110" t="str"/>
      <x:c r="O57" s="110" t="str"/>
      <x:c r="P57" s="112" t="str"/>
      <x:c r="Q57" s="110" t="str"/>
      <x:c r="R57" s="110" t="str"/>
      <x:c r="S57" s="110" t="str"/>
    </x:row>
    <x:row r="58" ht="34" customHeight="1">
      <x:c r="A58" s="110" t="str"/>
      <x:c r="B58" s="110" t="str"/>
      <x:c r="C58" s="110" t="str"/>
      <x:c r="D58" s="110" t="str"/>
      <x:c r="E58" s="110" t="str"/>
      <x:c r="F58" s="110" t="str"/>
      <x:c r="G58" s="110" t="str"/>
      <x:c r="H58" s="110" t="str"/>
      <x:c r="I58" s="110" t="str"/>
      <x:c r="J58" s="110" t="str"/>
      <x:c r="K58" s="110" t="str"/>
      <x:c r="L58" s="110" t="str"/>
      <x:c r="M58" s="110" t="str"/>
      <x:c r="N58" s="110" t="str"/>
      <x:c r="O58" s="110" t="str"/>
      <x:c r="P58" s="112" t="str"/>
      <x:c r="Q58" s="110" t="str"/>
      <x:c r="R58" s="110" t="str"/>
      <x:c r="S58" s="110" t="str"/>
    </x:row>
    <x:row r="59" ht="34" customHeight="1">
      <x:c r="A59" s="110" t="str"/>
      <x:c r="B59" s="110" t="str"/>
      <x:c r="C59" s="110" t="str"/>
      <x:c r="D59" s="110" t="str"/>
      <x:c r="E59" s="110" t="str"/>
      <x:c r="F59" s="110" t="str"/>
      <x:c r="G59" s="110" t="str"/>
      <x:c r="H59" s="110" t="str"/>
      <x:c r="I59" s="110" t="str"/>
      <x:c r="J59" s="110" t="str"/>
      <x:c r="K59" s="110" t="str"/>
      <x:c r="L59" s="110" t="str"/>
      <x:c r="M59" s="110" t="str"/>
      <x:c r="N59" s="110" t="str"/>
      <x:c r="O59" s="110" t="str"/>
      <x:c r="P59" s="112" t="str"/>
      <x:c r="Q59" s="110" t="str"/>
      <x:c r="R59" s="110" t="str"/>
      <x:c r="S59" s="110" t="str"/>
    </x:row>
    <x:row r="60" ht="34" customHeight="1">
      <x:c r="A60" s="110" t="str"/>
      <x:c r="B60" s="110" t="str"/>
      <x:c r="C60" s="110" t="str"/>
      <x:c r="D60" s="110" t="str"/>
      <x:c r="E60" s="110" t="str"/>
      <x:c r="F60" s="110" t="str"/>
      <x:c r="G60" s="110" t="str"/>
      <x:c r="H60" s="110" t="str"/>
      <x:c r="I60" s="110" t="str"/>
      <x:c r="J60" s="110" t="str"/>
      <x:c r="K60" s="110" t="str"/>
      <x:c r="L60" s="110" t="str"/>
      <x:c r="M60" s="110" t="str"/>
      <x:c r="N60" s="110" t="str"/>
      <x:c r="O60" s="110" t="str"/>
      <x:c r="P60" s="112" t="str"/>
      <x:c r="Q60" s="110" t="str"/>
      <x:c r="R60" s="110" t="str"/>
      <x:c r="S60" s="110" t="str"/>
    </x:row>
    <x:row r="61" ht="34" customHeight="1">
      <x:c r="A61" s="110" t="str"/>
      <x:c r="B61" s="110" t="str"/>
      <x:c r="C61" s="110" t="str"/>
      <x:c r="D61" s="110" t="str"/>
      <x:c r="E61" s="110" t="str"/>
      <x:c r="F61" s="110" t="str"/>
      <x:c r="G61" s="110" t="str"/>
      <x:c r="H61" s="110" t="str"/>
      <x:c r="I61" s="110" t="str"/>
      <x:c r="J61" s="110" t="str"/>
      <x:c r="K61" s="110" t="str"/>
      <x:c r="L61" s="110" t="str"/>
      <x:c r="M61" s="110" t="str"/>
      <x:c r="N61" s="110" t="str"/>
      <x:c r="O61" s="110" t="str"/>
      <x:c r="P61" s="112" t="str"/>
      <x:c r="Q61" s="110" t="str"/>
      <x:c r="R61" s="110" t="str"/>
      <x:c r="S61" s="110" t="str"/>
    </x:row>
    <x:row r="62" ht="34" customHeight="1">
      <x:c r="A62" s="110" t="str"/>
      <x:c r="B62" s="110" t="str"/>
      <x:c r="C62" s="110" t="str"/>
      <x:c r="D62" s="110" t="str"/>
      <x:c r="E62" s="110" t="str"/>
      <x:c r="F62" s="110" t="str"/>
      <x:c r="G62" s="110" t="str"/>
      <x:c r="H62" s="110" t="str"/>
      <x:c r="I62" s="110" t="str"/>
      <x:c r="J62" s="110" t="str"/>
      <x:c r="K62" s="110" t="str"/>
      <x:c r="L62" s="110" t="str"/>
      <x:c r="M62" s="110" t="str"/>
      <x:c r="N62" s="110" t="str"/>
      <x:c r="O62" s="110" t="str"/>
      <x:c r="P62" s="112" t="str"/>
      <x:c r="Q62" s="110" t="str"/>
      <x:c r="R62" s="110" t="str"/>
      <x:c r="S62" s="110" t="str"/>
    </x:row>
    <x:row r="63" ht="34" customHeight="1">
      <x:c r="A63" s="110" t="str"/>
      <x:c r="B63" s="110" t="str"/>
      <x:c r="C63" s="110" t="str"/>
      <x:c r="D63" s="110" t="str"/>
      <x:c r="E63" s="110" t="str"/>
      <x:c r="F63" s="110" t="str"/>
      <x:c r="G63" s="110" t="str"/>
      <x:c r="H63" s="110" t="str"/>
      <x:c r="I63" s="110" t="str"/>
      <x:c r="J63" s="110" t="str"/>
      <x:c r="K63" s="110" t="str"/>
      <x:c r="L63" s="110" t="str"/>
      <x:c r="M63" s="110" t="str"/>
      <x:c r="N63" s="110" t="str"/>
      <x:c r="O63" s="110" t="str"/>
      <x:c r="P63" s="112" t="str"/>
      <x:c r="Q63" s="110" t="str"/>
      <x:c r="R63" s="110" t="str"/>
      <x:c r="S63" s="110" t="str"/>
    </x:row>
    <x:row r="64" ht="34" customHeight="1">
      <x:c r="A64" s="110" t="str"/>
      <x:c r="B64" s="110" t="str"/>
      <x:c r="C64" s="110" t="str"/>
      <x:c r="D64" s="110" t="str"/>
      <x:c r="E64" s="110" t="str"/>
      <x:c r="F64" s="110" t="str"/>
      <x:c r="G64" s="110" t="str"/>
      <x:c r="H64" s="110" t="str"/>
      <x:c r="I64" s="110" t="str"/>
      <x:c r="J64" s="110" t="str"/>
      <x:c r="K64" s="110" t="str"/>
      <x:c r="L64" s="110" t="str"/>
      <x:c r="M64" s="110" t="str"/>
      <x:c r="N64" s="110" t="str"/>
      <x:c r="O64" s="110" t="str"/>
      <x:c r="P64" s="112" t="str"/>
      <x:c r="Q64" s="110" t="str"/>
      <x:c r="R64" s="110" t="str"/>
      <x:c r="S64" s="110" t="str"/>
    </x:row>
    <x:row r="65" ht="34" customHeight="1">
      <x:c r="A65" s="110" t="str"/>
      <x:c r="B65" s="110" t="str"/>
      <x:c r="C65" s="110" t="str"/>
      <x:c r="D65" s="110" t="str"/>
      <x:c r="E65" s="110" t="str"/>
      <x:c r="F65" s="110" t="str"/>
      <x:c r="G65" s="110" t="str"/>
      <x:c r="H65" s="110" t="str"/>
      <x:c r="I65" s="110" t="str"/>
      <x:c r="J65" s="110" t="str"/>
      <x:c r="K65" s="110" t="str"/>
      <x:c r="L65" s="110" t="str"/>
      <x:c r="M65" s="110" t="str"/>
      <x:c r="N65" s="110" t="str"/>
      <x:c r="O65" s="110" t="str"/>
      <x:c r="P65" s="112" t="str"/>
      <x:c r="Q65" s="110" t="str"/>
      <x:c r="R65" s="110" t="str"/>
      <x:c r="S65" s="110" t="str"/>
    </x:row>
    <x:row r="66" ht="34" customHeight="1">
      <x:c r="A66" s="110" t="str"/>
      <x:c r="B66" s="110" t="str"/>
      <x:c r="C66" s="110" t="str"/>
      <x:c r="D66" s="110" t="str"/>
      <x:c r="E66" s="110" t="str"/>
      <x:c r="F66" s="110" t="str"/>
      <x:c r="G66" s="110" t="str"/>
      <x:c r="H66" s="110" t="str"/>
      <x:c r="I66" s="110" t="str"/>
      <x:c r="J66" s="110" t="str"/>
      <x:c r="K66" s="110" t="str"/>
      <x:c r="L66" s="110" t="str"/>
      <x:c r="M66" s="110" t="str"/>
      <x:c r="N66" s="110" t="str"/>
      <x:c r="O66" s="110" t="str"/>
      <x:c r="P66" s="112" t="str"/>
      <x:c r="Q66" s="110" t="str"/>
      <x:c r="R66" s="110" t="str"/>
      <x:c r="S66" s="110" t="str"/>
    </x:row>
    <x:row r="67" ht="34" customHeight="1">
      <x:c r="A67" s="110" t="str"/>
      <x:c r="B67" s="110" t="str"/>
      <x:c r="C67" s="110" t="str"/>
      <x:c r="D67" s="110" t="str"/>
      <x:c r="E67" s="110" t="str"/>
      <x:c r="F67" s="110" t="str"/>
      <x:c r="G67" s="110" t="str"/>
      <x:c r="H67" s="110" t="str"/>
      <x:c r="I67" s="110" t="str"/>
      <x:c r="J67" s="110" t="str"/>
      <x:c r="K67" s="110" t="str"/>
      <x:c r="L67" s="110" t="str"/>
      <x:c r="M67" s="110" t="str"/>
      <x:c r="N67" s="110" t="str"/>
      <x:c r="O67" s="110" t="str"/>
      <x:c r="P67" s="112" t="str"/>
      <x:c r="Q67" s="110" t="str"/>
      <x:c r="R67" s="110" t="str"/>
      <x:c r="S67" s="110" t="str"/>
    </x:row>
    <x:row r="68" ht="34" customHeight="1">
      <x:c r="A68" s="110" t="str"/>
      <x:c r="B68" s="110" t="str"/>
      <x:c r="C68" s="110" t="str"/>
      <x:c r="D68" s="110" t="str"/>
      <x:c r="E68" s="110" t="str"/>
      <x:c r="F68" s="110" t="str"/>
      <x:c r="G68" s="110" t="str"/>
      <x:c r="H68" s="110" t="str"/>
      <x:c r="I68" s="110" t="str"/>
      <x:c r="J68" s="110" t="str"/>
      <x:c r="K68" s="110" t="str"/>
      <x:c r="L68" s="110" t="str"/>
      <x:c r="M68" s="110" t="str"/>
      <x:c r="N68" s="110" t="str"/>
      <x:c r="O68" s="110" t="str"/>
      <x:c r="P68" s="112" t="str"/>
      <x:c r="Q68" s="110" t="str"/>
      <x:c r="R68" s="110" t="str"/>
      <x:c r="S68" s="110" t="str"/>
    </x:row>
    <x:row r="69" ht="34" customHeight="1">
      <x:c r="A69" s="110" t="str"/>
      <x:c r="B69" s="110" t="str"/>
      <x:c r="C69" s="110" t="str"/>
      <x:c r="D69" s="110" t="str"/>
      <x:c r="E69" s="110" t="str"/>
      <x:c r="F69" s="110" t="str"/>
      <x:c r="G69" s="110" t="str"/>
      <x:c r="H69" s="110" t="str"/>
      <x:c r="I69" s="110" t="str"/>
      <x:c r="J69" s="110" t="str"/>
      <x:c r="K69" s="110" t="str"/>
      <x:c r="L69" s="110" t="str"/>
      <x:c r="M69" s="110" t="str"/>
      <x:c r="N69" s="110" t="str"/>
      <x:c r="O69" s="110" t="str"/>
      <x:c r="P69" s="112" t="str"/>
      <x:c r="Q69" s="110" t="str"/>
      <x:c r="R69" s="110" t="str"/>
      <x:c r="S69" s="110" t="str"/>
    </x:row>
    <x:row r="70" ht="34" customHeight="1">
      <x:c r="A70" s="110" t="str"/>
      <x:c r="B70" s="110" t="str"/>
      <x:c r="C70" s="110" t="str"/>
      <x:c r="D70" s="110" t="str"/>
      <x:c r="E70" s="110" t="str"/>
      <x:c r="F70" s="110" t="str"/>
      <x:c r="G70" s="110" t="str"/>
      <x:c r="H70" s="110" t="str"/>
      <x:c r="I70" s="110" t="str"/>
      <x:c r="J70" s="110" t="str"/>
      <x:c r="K70" s="110" t="str"/>
      <x:c r="L70" s="110" t="str"/>
      <x:c r="M70" s="110" t="str"/>
      <x:c r="N70" s="110" t="str"/>
      <x:c r="O70" s="110" t="str"/>
      <x:c r="P70" s="112" t="str"/>
      <x:c r="Q70" s="110" t="str"/>
      <x:c r="R70" s="110" t="str"/>
      <x:c r="S70" s="110" t="str"/>
    </x:row>
    <x:row r="71" ht="34" customHeight="1">
      <x:c r="A71" s="110" t="str"/>
      <x:c r="B71" s="110" t="str"/>
      <x:c r="C71" s="110" t="str"/>
      <x:c r="D71" s="110" t="str"/>
      <x:c r="E71" s="110" t="str"/>
      <x:c r="F71" s="110" t="str"/>
      <x:c r="G71" s="110" t="str"/>
      <x:c r="H71" s="110" t="str"/>
      <x:c r="I71" s="110" t="str"/>
      <x:c r="J71" s="110" t="str"/>
      <x:c r="K71" s="110" t="str"/>
      <x:c r="L71" s="110" t="str"/>
      <x:c r="M71" s="110" t="str"/>
      <x:c r="N71" s="110" t="str"/>
      <x:c r="O71" s="110" t="str"/>
      <x:c r="P71" s="112" t="str"/>
      <x:c r="Q71" s="110" t="str"/>
      <x:c r="R71" s="110" t="str"/>
      <x:c r="S71" s="110" t="str"/>
    </x:row>
    <x:row r="72" ht="34" customHeight="1">
      <x:c r="A72" s="110" t="str"/>
      <x:c r="B72" s="110" t="str"/>
      <x:c r="C72" s="110" t="str"/>
      <x:c r="D72" s="110" t="str"/>
      <x:c r="E72" s="110" t="str"/>
      <x:c r="F72" s="110" t="str"/>
      <x:c r="G72" s="110" t="str"/>
      <x:c r="H72" s="110" t="str"/>
      <x:c r="I72" s="110" t="str"/>
      <x:c r="J72" s="110" t="str"/>
      <x:c r="K72" s="110" t="str"/>
      <x:c r="L72" s="110" t="str"/>
      <x:c r="M72" s="110" t="str"/>
      <x:c r="N72" s="110" t="str"/>
      <x:c r="O72" s="110" t="str"/>
      <x:c r="P72" s="112" t="str"/>
      <x:c r="Q72" s="110" t="str"/>
      <x:c r="R72" s="110" t="str"/>
      <x:c r="S72" s="110" t="str"/>
    </x:row>
    <x:row r="73" ht="34" customHeight="1">
      <x:c r="A73" s="110" t="str"/>
      <x:c r="B73" s="110" t="str"/>
      <x:c r="C73" s="110" t="str"/>
      <x:c r="D73" s="110" t="str"/>
      <x:c r="E73" s="110" t="str"/>
      <x:c r="F73" s="110" t="str"/>
      <x:c r="G73" s="110" t="str"/>
      <x:c r="H73" s="110" t="str"/>
      <x:c r="I73" s="110" t="str"/>
      <x:c r="J73" s="110" t="str"/>
      <x:c r="K73" s="110" t="str"/>
      <x:c r="L73" s="110" t="str"/>
      <x:c r="M73" s="110" t="str"/>
      <x:c r="N73" s="110" t="str"/>
      <x:c r="O73" s="110" t="str"/>
      <x:c r="P73" s="112" t="str"/>
      <x:c r="Q73" s="110" t="str"/>
      <x:c r="R73" s="110" t="str"/>
      <x:c r="S73" s="110" t="str"/>
    </x:row>
    <x:row r="74" ht="34" customHeight="1">
      <x:c r="A74" s="110" t="str"/>
      <x:c r="B74" s="110" t="str"/>
      <x:c r="C74" s="110" t="str"/>
      <x:c r="D74" s="110" t="str"/>
      <x:c r="E74" s="110" t="str"/>
      <x:c r="F74" s="110" t="str"/>
      <x:c r="G74" s="110" t="str"/>
      <x:c r="H74" s="110" t="str"/>
      <x:c r="I74" s="110" t="str"/>
      <x:c r="J74" s="110" t="str"/>
      <x:c r="K74" s="110" t="str"/>
      <x:c r="L74" s="110" t="str"/>
      <x:c r="M74" s="110" t="str"/>
      <x:c r="N74" s="110" t="str"/>
      <x:c r="O74" s="110" t="str"/>
      <x:c r="P74" s="112" t="str"/>
      <x:c r="Q74" s="110" t="str"/>
      <x:c r="R74" s="110" t="str"/>
      <x:c r="S74" s="110" t="str"/>
    </x:row>
    <x:row r="75" ht="34" customHeight="1">
      <x:c r="A75" s="110" t="str"/>
      <x:c r="B75" s="110" t="str"/>
      <x:c r="C75" s="110" t="str"/>
      <x:c r="D75" s="110" t="str"/>
      <x:c r="E75" s="110" t="str"/>
      <x:c r="F75" s="110" t="str"/>
      <x:c r="G75" s="110" t="str"/>
      <x:c r="H75" s="110" t="str"/>
      <x:c r="I75" s="110" t="str"/>
      <x:c r="J75" s="110" t="str"/>
      <x:c r="K75" s="110" t="str"/>
      <x:c r="L75" s="110" t="str"/>
      <x:c r="M75" s="110" t="str"/>
      <x:c r="N75" s="110" t="str"/>
      <x:c r="O75" s="110" t="str"/>
      <x:c r="P75" s="112" t="str"/>
      <x:c r="Q75" s="110" t="str"/>
      <x:c r="R75" s="110" t="str"/>
      <x:c r="S75" s="110" t="str"/>
    </x:row>
    <x:row r="76" ht="34" customHeight="1">
      <x:c r="A76" s="110" t="str"/>
      <x:c r="B76" s="110" t="str"/>
      <x:c r="C76" s="110" t="str"/>
      <x:c r="D76" s="110" t="str"/>
      <x:c r="E76" s="110" t="str"/>
      <x:c r="F76" s="110" t="str"/>
      <x:c r="G76" s="110" t="str"/>
      <x:c r="H76" s="110" t="str"/>
      <x:c r="I76" s="110" t="str"/>
      <x:c r="J76" s="110" t="str"/>
      <x:c r="K76" s="110" t="str"/>
      <x:c r="L76" s="110" t="str"/>
      <x:c r="M76" s="110" t="str"/>
      <x:c r="N76" s="110" t="str"/>
      <x:c r="O76" s="110" t="str"/>
      <x:c r="P76" s="112" t="str"/>
      <x:c r="Q76" s="110" t="str"/>
      <x:c r="R76" s="110" t="str"/>
      <x:c r="S76" s="110" t="str"/>
    </x:row>
    <x:row r="77" ht="34" customHeight="1">
      <x:c r="A77" s="110" t="str"/>
      <x:c r="B77" s="110" t="str"/>
      <x:c r="C77" s="110" t="str"/>
      <x:c r="D77" s="110" t="str"/>
      <x:c r="E77" s="110" t="str"/>
      <x:c r="F77" s="110" t="str"/>
      <x:c r="G77" s="110" t="str"/>
      <x:c r="H77" s="110" t="str"/>
      <x:c r="I77" s="110" t="str"/>
      <x:c r="J77" s="110" t="str"/>
      <x:c r="K77" s="110" t="str"/>
      <x:c r="L77" s="110" t="str"/>
      <x:c r="M77" s="110" t="str"/>
      <x:c r="N77" s="110" t="str"/>
      <x:c r="O77" s="110" t="str"/>
      <x:c r="P77" s="112" t="str"/>
      <x:c r="Q77" s="110" t="str"/>
      <x:c r="R77" s="110" t="str"/>
      <x:c r="S77" s="110" t="str"/>
    </x:row>
    <x:row r="78" ht="34" customHeight="1">
      <x:c r="A78" s="110" t="str"/>
      <x:c r="B78" s="110" t="str"/>
      <x:c r="C78" s="110" t="str"/>
      <x:c r="D78" s="110" t="str"/>
      <x:c r="E78" s="110" t="str"/>
      <x:c r="F78" s="110" t="str"/>
      <x:c r="G78" s="110" t="str"/>
      <x:c r="H78" s="110" t="str"/>
      <x:c r="I78" s="110" t="str"/>
      <x:c r="J78" s="110" t="str"/>
      <x:c r="K78" s="110" t="str"/>
      <x:c r="L78" s="110" t="str"/>
      <x:c r="M78" s="110" t="str"/>
      <x:c r="N78" s="110" t="str"/>
      <x:c r="O78" s="110" t="str"/>
      <x:c r="P78" s="112" t="str"/>
      <x:c r="Q78" s="110" t="str"/>
      <x:c r="R78" s="110" t="str"/>
      <x:c r="S78" s="110" t="str"/>
    </x:row>
    <x:row r="79" ht="34" customHeight="1">
      <x:c r="A79" s="110" t="str"/>
      <x:c r="B79" s="110" t="str"/>
      <x:c r="C79" s="110" t="str"/>
      <x:c r="D79" s="110" t="str"/>
      <x:c r="E79" s="110" t="str"/>
      <x:c r="F79" s="110" t="str"/>
      <x:c r="G79" s="110" t="str"/>
      <x:c r="H79" s="110" t="str"/>
      <x:c r="I79" s="110" t="str"/>
      <x:c r="J79" s="110" t="str"/>
      <x:c r="K79" s="110" t="str"/>
      <x:c r="L79" s="110" t="str"/>
      <x:c r="M79" s="110" t="str"/>
      <x:c r="N79" s="110" t="str"/>
      <x:c r="O79" s="110" t="str"/>
      <x:c r="P79" s="112" t="str"/>
      <x:c r="Q79" s="110" t="str"/>
      <x:c r="R79" s="110" t="str"/>
      <x:c r="S79" s="110" t="str"/>
    </x:row>
    <x:row r="80" ht="34" customHeight="1">
      <x:c r="A80" s="110" t="str"/>
      <x:c r="B80" s="110" t="str"/>
      <x:c r="C80" s="110" t="str"/>
      <x:c r="D80" s="110" t="str"/>
      <x:c r="E80" s="110" t="str"/>
      <x:c r="F80" s="110" t="str"/>
      <x:c r="G80" s="110" t="str"/>
      <x:c r="H80" s="110" t="str"/>
      <x:c r="I80" s="110" t="str"/>
      <x:c r="J80" s="110" t="str"/>
      <x:c r="K80" s="110" t="str"/>
      <x:c r="L80" s="110" t="str"/>
      <x:c r="M80" s="110" t="str"/>
      <x:c r="N80" s="110" t="str"/>
      <x:c r="O80" s="110" t="str"/>
      <x:c r="P80" s="112" t="str"/>
      <x:c r="Q80" s="110" t="str"/>
      <x:c r="R80" s="110" t="str"/>
      <x:c r="S80" s="110" t="str"/>
    </x:row>
    <x:row r="81" ht="34" customHeight="1">
      <x:c r="A81" s="110" t="str"/>
      <x:c r="B81" s="110" t="str"/>
      <x:c r="C81" s="110" t="str"/>
      <x:c r="D81" s="110" t="str"/>
      <x:c r="E81" s="110" t="str"/>
      <x:c r="F81" s="110" t="str"/>
      <x:c r="G81" s="110" t="str"/>
      <x:c r="H81" s="110" t="str"/>
      <x:c r="I81" s="110" t="str"/>
      <x:c r="J81" s="110" t="str"/>
      <x:c r="K81" s="110" t="str"/>
      <x:c r="L81" s="110" t="str"/>
      <x:c r="M81" s="110" t="str"/>
      <x:c r="N81" s="110" t="str"/>
      <x:c r="O81" s="110" t="str"/>
      <x:c r="P81" s="112" t="str"/>
      <x:c r="Q81" s="110" t="str"/>
      <x:c r="R81" s="110" t="str"/>
      <x:c r="S81" s="110" t="str"/>
    </x:row>
    <x:row r="82" ht="34" customHeight="1">
      <x:c r="A82" s="110" t="str"/>
      <x:c r="B82" s="110" t="str"/>
      <x:c r="C82" s="110" t="str"/>
      <x:c r="D82" s="110" t="str"/>
      <x:c r="E82" s="110" t="str"/>
      <x:c r="F82" s="110" t="str"/>
      <x:c r="G82" s="110" t="str"/>
      <x:c r="H82" s="110" t="str"/>
      <x:c r="I82" s="110" t="str"/>
      <x:c r="J82" s="110" t="str"/>
      <x:c r="K82" s="110" t="str"/>
      <x:c r="L82" s="110" t="str"/>
      <x:c r="M82" s="110" t="str"/>
      <x:c r="N82" s="110" t="str"/>
      <x:c r="O82" s="110" t="str"/>
      <x:c r="P82" s="112" t="str"/>
      <x:c r="Q82" s="110" t="str"/>
      <x:c r="R82" s="110" t="str"/>
      <x:c r="S82" s="110" t="str"/>
    </x:row>
    <x:row r="83" ht="34" customHeight="1">
      <x:c r="A83" s="110" t="str"/>
      <x:c r="B83" s="110" t="str"/>
      <x:c r="C83" s="110" t="str"/>
      <x:c r="D83" s="110" t="str"/>
      <x:c r="E83" s="110" t="str"/>
      <x:c r="F83" s="110" t="str"/>
      <x:c r="G83" s="110" t="str"/>
      <x:c r="H83" s="110" t="str"/>
      <x:c r="I83" s="110" t="str"/>
      <x:c r="J83" s="110" t="str"/>
      <x:c r="K83" s="110" t="str"/>
      <x:c r="L83" s="110" t="str"/>
      <x:c r="M83" s="110" t="str"/>
      <x:c r="N83" s="110" t="str"/>
      <x:c r="O83" s="110" t="str"/>
      <x:c r="P83" s="112" t="str"/>
      <x:c r="Q83" s="110" t="str"/>
      <x:c r="R83" s="110" t="str"/>
      <x:c r="S83" s="110" t="str"/>
    </x:row>
    <x:row r="84" ht="34" customHeight="1">
      <x:c r="A84" s="110" t="str"/>
      <x:c r="B84" s="110" t="str"/>
      <x:c r="C84" s="110" t="str"/>
      <x:c r="D84" s="110" t="str"/>
      <x:c r="E84" s="110" t="str"/>
      <x:c r="F84" s="110" t="str"/>
      <x:c r="G84" s="110" t="str"/>
      <x:c r="H84" s="110" t="str"/>
      <x:c r="I84" s="110" t="str"/>
      <x:c r="J84" s="110" t="str"/>
      <x:c r="K84" s="110" t="str"/>
      <x:c r="L84" s="110" t="str"/>
      <x:c r="M84" s="110" t="str"/>
      <x:c r="N84" s="110" t="str"/>
      <x:c r="O84" s="110" t="str"/>
      <x:c r="P84" s="112" t="str"/>
      <x:c r="Q84" s="110" t="str"/>
      <x:c r="R84" s="110" t="str"/>
      <x:c r="S84" s="110" t="str"/>
    </x:row>
    <x:row r="85" ht="34" customHeight="1">
      <x:c r="A85" s="110" t="str"/>
      <x:c r="B85" s="110" t="str"/>
      <x:c r="C85" s="110" t="str"/>
      <x:c r="D85" s="110" t="str"/>
      <x:c r="E85" s="110" t="str"/>
      <x:c r="F85" s="110" t="str"/>
      <x:c r="G85" s="110" t="str"/>
      <x:c r="H85" s="110" t="str"/>
      <x:c r="I85" s="110" t="str"/>
      <x:c r="J85" s="110" t="str"/>
      <x:c r="K85" s="110" t="str"/>
      <x:c r="L85" s="110" t="str"/>
      <x:c r="M85" s="110" t="str"/>
      <x:c r="N85" s="110" t="str"/>
      <x:c r="O85" s="110" t="str"/>
      <x:c r="P85" s="112" t="str"/>
      <x:c r="Q85" s="110" t="str"/>
      <x:c r="R85" s="110" t="str"/>
      <x:c r="S85" s="110" t="str"/>
    </x:row>
    <x:row r="86" ht="34" customHeight="1">
      <x:c r="A86" s="110" t="str"/>
      <x:c r="B86" s="110" t="str"/>
      <x:c r="C86" s="110" t="str"/>
      <x:c r="D86" s="110" t="str"/>
      <x:c r="E86" s="110" t="str"/>
      <x:c r="F86" s="110" t="str"/>
      <x:c r="G86" s="110" t="str"/>
      <x:c r="H86" s="110" t="str"/>
      <x:c r="I86" s="110" t="str"/>
      <x:c r="J86" s="110" t="str"/>
      <x:c r="K86" s="110" t="str"/>
      <x:c r="L86" s="110" t="str"/>
      <x:c r="M86" s="110" t="str"/>
      <x:c r="N86" s="110" t="str"/>
      <x:c r="O86" s="110" t="str"/>
      <x:c r="P86" s="112" t="str"/>
      <x:c r="Q86" s="110" t="str"/>
      <x:c r="R86" s="110" t="str"/>
      <x:c r="S86" s="110" t="str"/>
    </x:row>
    <x:row r="87" ht="34" customHeight="1">
      <x:c r="A87" s="110" t="str"/>
      <x:c r="B87" s="110" t="str"/>
      <x:c r="C87" s="110" t="str"/>
      <x:c r="D87" s="110" t="str"/>
      <x:c r="E87" s="110" t="str"/>
      <x:c r="F87" s="110" t="str"/>
      <x:c r="G87" s="110" t="str"/>
      <x:c r="H87" s="110" t="str"/>
      <x:c r="I87" s="110" t="str"/>
      <x:c r="J87" s="110" t="str"/>
      <x:c r="K87" s="110" t="str"/>
      <x:c r="L87" s="110" t="str"/>
      <x:c r="M87" s="110" t="str"/>
      <x:c r="N87" s="110" t="str"/>
      <x:c r="O87" s="110" t="str"/>
      <x:c r="P87" s="112" t="str"/>
      <x:c r="Q87" s="110" t="str"/>
      <x:c r="R87" s="110" t="str"/>
      <x:c r="S87" s="110" t="str"/>
    </x:row>
    <x:row r="88" ht="34" customHeight="1">
      <x:c r="A88" s="110" t="str"/>
      <x:c r="B88" s="110" t="str"/>
      <x:c r="C88" s="110" t="str"/>
      <x:c r="D88" s="110" t="str"/>
      <x:c r="E88" s="110" t="str"/>
      <x:c r="F88" s="110" t="str"/>
      <x:c r="G88" s="110" t="str"/>
      <x:c r="H88" s="110" t="str"/>
      <x:c r="I88" s="110" t="str"/>
      <x:c r="J88" s="110" t="str"/>
      <x:c r="K88" s="110" t="str"/>
      <x:c r="L88" s="110" t="str"/>
      <x:c r="M88" s="110" t="str"/>
      <x:c r="N88" s="110" t="str"/>
      <x:c r="O88" s="110" t="str"/>
      <x:c r="P88" s="112" t="str"/>
      <x:c r="Q88" s="110" t="str"/>
      <x:c r="R88" s="110" t="str"/>
      <x:c r="S88" s="110" t="str"/>
    </x:row>
    <x:row r="89" ht="34" customHeight="1">
      <x:c r="A89" s="110" t="str"/>
      <x:c r="B89" s="110" t="str"/>
      <x:c r="C89" s="110" t="str"/>
      <x:c r="D89" s="110" t="str"/>
      <x:c r="E89" s="110" t="str"/>
      <x:c r="F89" s="110" t="str"/>
      <x:c r="G89" s="110" t="str"/>
      <x:c r="H89" s="110" t="str"/>
      <x:c r="I89" s="110" t="str"/>
      <x:c r="J89" s="110" t="str"/>
      <x:c r="K89" s="110" t="str"/>
      <x:c r="L89" s="110" t="str"/>
      <x:c r="M89" s="110" t="str"/>
      <x:c r="N89" s="110" t="str"/>
      <x:c r="O89" s="110" t="str"/>
      <x:c r="P89" s="112" t="str"/>
      <x:c r="Q89" s="110" t="str"/>
      <x:c r="R89" s="110" t="str"/>
      <x:c r="S89" s="110" t="str"/>
    </x:row>
    <x:row r="90" ht="34" customHeight="1">
      <x:c r="A90" s="110" t="str"/>
      <x:c r="B90" s="110" t="str"/>
      <x:c r="C90" s="110" t="str"/>
      <x:c r="D90" s="110" t="str"/>
      <x:c r="E90" s="110" t="str"/>
      <x:c r="F90" s="110" t="str"/>
      <x:c r="G90" s="110" t="str"/>
      <x:c r="H90" s="110" t="str"/>
      <x:c r="I90" s="110" t="str"/>
      <x:c r="J90" s="110" t="str"/>
      <x:c r="K90" s="110" t="str"/>
      <x:c r="L90" s="110" t="str"/>
      <x:c r="M90" s="110" t="str"/>
      <x:c r="N90" s="110" t="str"/>
      <x:c r="O90" s="110" t="str"/>
      <x:c r="P90" s="112" t="str"/>
      <x:c r="Q90" s="110" t="str"/>
      <x:c r="R90" s="110" t="str"/>
      <x:c r="S90" s="110" t="str"/>
    </x:row>
    <x:row r="91" ht="34" customHeight="1">
      <x:c r="A91" s="110" t="str"/>
      <x:c r="B91" s="110" t="str"/>
      <x:c r="C91" s="110" t="str"/>
      <x:c r="D91" s="110" t="str"/>
      <x:c r="E91" s="110" t="str"/>
      <x:c r="F91" s="110" t="str"/>
      <x:c r="G91" s="110" t="str"/>
      <x:c r="H91" s="110" t="str"/>
      <x:c r="I91" s="110" t="str"/>
      <x:c r="J91" s="110" t="str"/>
      <x:c r="K91" s="110" t="str"/>
      <x:c r="L91" s="110" t="str"/>
      <x:c r="M91" s="110" t="str"/>
      <x:c r="N91" s="110" t="str"/>
      <x:c r="O91" s="110" t="str"/>
      <x:c r="P91" s="112" t="str"/>
      <x:c r="Q91" s="110" t="str"/>
      <x:c r="R91" s="110" t="str"/>
      <x:c r="S91" s="110" t="str"/>
    </x:row>
    <x:row r="92" ht="34" customHeight="1">
      <x:c r="A92" s="110" t="str"/>
      <x:c r="B92" s="110" t="str"/>
      <x:c r="C92" s="110" t="str"/>
      <x:c r="D92" s="110" t="str"/>
      <x:c r="E92" s="110" t="str"/>
      <x:c r="F92" s="110" t="str"/>
      <x:c r="G92" s="110" t="str"/>
      <x:c r="H92" s="110" t="str"/>
      <x:c r="I92" s="110" t="str"/>
      <x:c r="J92" s="110" t="str"/>
      <x:c r="K92" s="110" t="str"/>
      <x:c r="L92" s="110" t="str"/>
      <x:c r="M92" s="110" t="str"/>
      <x:c r="N92" s="110" t="str"/>
      <x:c r="O92" s="110" t="str"/>
      <x:c r="P92" s="112" t="str"/>
      <x:c r="Q92" s="110" t="str"/>
      <x:c r="R92" s="110" t="str"/>
      <x:c r="S92" s="110" t="str"/>
    </x:row>
    <x:row r="93" ht="34" customHeight="1">
      <x:c r="A93" s="110" t="str"/>
      <x:c r="B93" s="110" t="str"/>
      <x:c r="C93" s="110" t="str"/>
      <x:c r="D93" s="110" t="str"/>
      <x:c r="E93" s="110" t="str"/>
      <x:c r="F93" s="110" t="str"/>
      <x:c r="G93" s="110" t="str"/>
      <x:c r="H93" s="110" t="str"/>
      <x:c r="I93" s="110" t="str"/>
      <x:c r="J93" s="110" t="str"/>
      <x:c r="K93" s="110" t="str"/>
      <x:c r="L93" s="110" t="str"/>
      <x:c r="M93" s="110" t="str"/>
      <x:c r="N93" s="110" t="str"/>
      <x:c r="O93" s="110" t="str"/>
      <x:c r="P93" s="112" t="str"/>
      <x:c r="Q93" s="110" t="str"/>
      <x:c r="R93" s="110" t="str"/>
      <x:c r="S93" s="110" t="str"/>
    </x:row>
    <x:row r="94" ht="34" customHeight="1">
      <x:c r="A94" s="110" t="str"/>
      <x:c r="B94" s="110" t="str"/>
      <x:c r="C94" s="110" t="str"/>
      <x:c r="D94" s="110" t="str"/>
      <x:c r="E94" s="110" t="str"/>
      <x:c r="F94" s="110" t="str"/>
      <x:c r="G94" s="110" t="str"/>
      <x:c r="H94" s="110" t="str"/>
      <x:c r="I94" s="110" t="str"/>
      <x:c r="J94" s="110" t="str"/>
      <x:c r="K94" s="110" t="str"/>
      <x:c r="L94" s="110" t="str"/>
      <x:c r="M94" s="110" t="str"/>
      <x:c r="N94" s="110" t="str"/>
      <x:c r="O94" s="110" t="str"/>
      <x:c r="P94" s="112" t="str"/>
      <x:c r="Q94" s="110" t="str"/>
      <x:c r="R94" s="110" t="str"/>
      <x:c r="S94" s="110" t="str"/>
    </x:row>
    <x:row r="95" ht="34" customHeight="1">
      <x:c r="A95" s="110" t="str"/>
      <x:c r="B95" s="110" t="str"/>
      <x:c r="C95" s="110" t="str"/>
      <x:c r="D95" s="110" t="str"/>
      <x:c r="E95" s="110" t="str"/>
      <x:c r="F95" s="110" t="str"/>
      <x:c r="G95" s="110" t="str"/>
      <x:c r="H95" s="110" t="str"/>
      <x:c r="I95" s="110" t="str"/>
      <x:c r="J95" s="110" t="str"/>
      <x:c r="K95" s="110" t="str"/>
      <x:c r="L95" s="110" t="str"/>
      <x:c r="M95" s="110" t="str"/>
      <x:c r="N95" s="110" t="str"/>
      <x:c r="O95" s="110" t="str"/>
      <x:c r="P95" s="112" t="str"/>
      <x:c r="Q95" s="110" t="str"/>
      <x:c r="R95" s="110" t="str"/>
      <x:c r="S95" s="110" t="str"/>
    </x:row>
    <x:row r="96" ht="34" customHeight="1">
      <x:c r="A96" s="110" t="str"/>
      <x:c r="B96" s="110" t="str"/>
      <x:c r="C96" s="110" t="str"/>
      <x:c r="D96" s="110" t="str"/>
      <x:c r="E96" s="110" t="str"/>
      <x:c r="F96" s="110" t="str"/>
      <x:c r="G96" s="110" t="str"/>
      <x:c r="H96" s="110" t="str"/>
      <x:c r="I96" s="110" t="str"/>
      <x:c r="J96" s="110" t="str"/>
      <x:c r="K96" s="110" t="str"/>
      <x:c r="L96" s="110" t="str"/>
      <x:c r="M96" s="110" t="str"/>
      <x:c r="N96" s="110" t="str"/>
      <x:c r="O96" s="110" t="str"/>
      <x:c r="P96" s="112" t="str"/>
      <x:c r="Q96" s="110" t="str"/>
      <x:c r="R96" s="110" t="str"/>
      <x:c r="S96" s="110" t="str"/>
    </x:row>
    <x:row r="97" ht="34" customHeight="1">
      <x:c r="A97" s="110" t="str"/>
      <x:c r="B97" s="110" t="str"/>
      <x:c r="C97" s="110" t="str"/>
      <x:c r="D97" s="110" t="str"/>
      <x:c r="E97" s="110" t="str"/>
      <x:c r="F97" s="110" t="str"/>
      <x:c r="G97" s="110" t="str"/>
      <x:c r="H97" s="110" t="str"/>
      <x:c r="I97" s="110" t="str"/>
      <x:c r="J97" s="110" t="str"/>
      <x:c r="K97" s="110" t="str"/>
      <x:c r="L97" s="110" t="str"/>
      <x:c r="M97" s="110" t="str"/>
      <x:c r="N97" s="110" t="str"/>
      <x:c r="O97" s="110" t="str"/>
      <x:c r="P97" s="112" t="str"/>
      <x:c r="Q97" s="110" t="str"/>
      <x:c r="R97" s="110" t="str"/>
      <x:c r="S97" s="110" t="str"/>
    </x:row>
    <x:row r="98" ht="34" customHeight="1">
      <x:c r="A98" s="110" t="str"/>
      <x:c r="B98" s="110" t="str"/>
      <x:c r="C98" s="110" t="str"/>
      <x:c r="D98" s="110" t="str"/>
      <x:c r="E98" s="110" t="str"/>
      <x:c r="F98" s="110" t="str"/>
      <x:c r="G98" s="110" t="str"/>
      <x:c r="H98" s="110" t="str"/>
      <x:c r="I98" s="110" t="str"/>
      <x:c r="J98" s="110" t="str"/>
      <x:c r="K98" s="110" t="str"/>
      <x:c r="L98" s="110" t="str"/>
      <x:c r="M98" s="110" t="str"/>
      <x:c r="N98" s="110" t="str"/>
      <x:c r="O98" s="110" t="str"/>
      <x:c r="P98" s="112" t="str"/>
      <x:c r="Q98" s="110" t="str"/>
      <x:c r="R98" s="110" t="str"/>
      <x:c r="S98" s="110" t="str"/>
    </x:row>
    <x:row r="99" ht="34" customHeight="1">
      <x:c r="A99" s="110" t="str"/>
      <x:c r="B99" s="110" t="str"/>
      <x:c r="C99" s="110" t="str"/>
      <x:c r="D99" s="110" t="str"/>
      <x:c r="E99" s="110" t="str"/>
      <x:c r="F99" s="110" t="str"/>
      <x:c r="G99" s="110" t="str"/>
      <x:c r="H99" s="110" t="str"/>
      <x:c r="I99" s="110" t="str"/>
      <x:c r="J99" s="110" t="str"/>
      <x:c r="K99" s="110" t="str"/>
      <x:c r="L99" s="110" t="str"/>
      <x:c r="M99" s="110" t="str"/>
      <x:c r="N99" s="110" t="str"/>
      <x:c r="O99" s="110" t="str"/>
      <x:c r="P99" s="112" t="str"/>
      <x:c r="Q99" s="110" t="str"/>
      <x:c r="R99" s="110" t="str"/>
      <x:c r="S99" s="110" t="str"/>
    </x:row>
    <x:row r="100" ht="34" customHeight="1">
      <x:c r="A100" s="110" t="str"/>
      <x:c r="B100" s="110" t="str"/>
      <x:c r="C100" s="110" t="str"/>
      <x:c r="D100" s="110" t="str"/>
      <x:c r="E100" s="110" t="str"/>
      <x:c r="F100" s="110" t="str"/>
      <x:c r="G100" s="110" t="str"/>
      <x:c r="H100" s="110" t="str"/>
      <x:c r="I100" s="110" t="str"/>
      <x:c r="J100" s="110" t="str"/>
      <x:c r="K100" s="110" t="str"/>
      <x:c r="L100" s="110" t="str"/>
      <x:c r="M100" s="110" t="str"/>
      <x:c r="N100" s="110" t="str"/>
      <x:c r="O100" s="110" t="str"/>
      <x:c r="P100" s="112" t="str"/>
      <x:c r="Q100" s="110" t="str"/>
      <x:c r="R100" s="110" t="str"/>
      <x:c r="S100" s="110" t="str"/>
    </x:row>
    <x:row r="101" ht="34" customHeight="1">
      <x:c r="A101" s="110" t="str"/>
      <x:c r="B101" s="110" t="str"/>
      <x:c r="C101" s="110" t="str"/>
      <x:c r="D101" s="110" t="str"/>
      <x:c r="E101" s="110" t="str"/>
      <x:c r="F101" s="110" t="str"/>
      <x:c r="G101" s="110" t="str"/>
      <x:c r="H101" s="110" t="str"/>
      <x:c r="I101" s="110" t="str"/>
      <x:c r="J101" s="110" t="str"/>
      <x:c r="K101" s="110" t="str"/>
      <x:c r="L101" s="110" t="str"/>
      <x:c r="M101" s="110" t="str"/>
      <x:c r="N101" s="110" t="str"/>
      <x:c r="O101" s="110" t="str"/>
      <x:c r="P101" s="112" t="str"/>
      <x:c r="Q101" s="110" t="str"/>
      <x:c r="R101" s="110" t="str"/>
      <x:c r="S101" s="110" t="str"/>
    </x:row>
    <x:row r="102" ht="34" customHeight="1">
      <x:c r="A102" s="110" t="str"/>
      <x:c r="B102" s="110" t="str"/>
      <x:c r="C102" s="110" t="str"/>
      <x:c r="D102" s="110" t="str"/>
      <x:c r="E102" s="110" t="str"/>
      <x:c r="F102" s="110" t="str"/>
      <x:c r="G102" s="110" t="str"/>
      <x:c r="H102" s="110" t="str"/>
      <x:c r="I102" s="110" t="str"/>
      <x:c r="J102" s="110" t="str"/>
      <x:c r="K102" s="110" t="str"/>
      <x:c r="L102" s="110" t="str"/>
      <x:c r="M102" s="110" t="str"/>
      <x:c r="N102" s="110" t="str"/>
      <x:c r="O102" s="110" t="str"/>
      <x:c r="P102" s="112" t="str"/>
      <x:c r="Q102" s="110" t="str"/>
      <x:c r="R102" s="110" t="str"/>
      <x:c r="S102" s="110" t="str"/>
    </x:row>
    <x:row r="103" ht="34" customHeight="1">
      <x:c r="A103" s="110" t="str"/>
      <x:c r="B103" s="110" t="str"/>
      <x:c r="C103" s="110" t="str"/>
      <x:c r="D103" s="110" t="str"/>
      <x:c r="E103" s="110" t="str"/>
      <x:c r="F103" s="110" t="str"/>
      <x:c r="G103" s="110" t="str"/>
      <x:c r="H103" s="110" t="str"/>
      <x:c r="I103" s="110" t="str"/>
      <x:c r="J103" s="110" t="str"/>
      <x:c r="K103" s="110" t="str"/>
      <x:c r="L103" s="110" t="str"/>
      <x:c r="M103" s="110" t="str"/>
      <x:c r="N103" s="110" t="str"/>
      <x:c r="O103" s="110" t="str"/>
      <x:c r="P103" s="112" t="str"/>
      <x:c r="Q103" s="110" t="str"/>
      <x:c r="R103" s="110" t="str"/>
      <x:c r="S103" s="110" t="str"/>
    </x:row>
    <x:row r="104" ht="34" customHeight="1">
      <x:c r="A104" s="110" t="str"/>
      <x:c r="B104" s="110" t="str"/>
      <x:c r="C104" s="110" t="str"/>
      <x:c r="D104" s="110" t="str"/>
      <x:c r="E104" s="110" t="str"/>
      <x:c r="F104" s="110" t="str"/>
      <x:c r="G104" s="110" t="str"/>
      <x:c r="H104" s="110" t="str"/>
      <x:c r="I104" s="110" t="str"/>
      <x:c r="J104" s="110" t="str"/>
      <x:c r="K104" s="110" t="str"/>
      <x:c r="L104" s="110" t="str"/>
      <x:c r="M104" s="110" t="str"/>
      <x:c r="N104" s="110" t="str"/>
      <x:c r="O104" s="110" t="str"/>
      <x:c r="P104" s="112" t="str"/>
      <x:c r="Q104" s="110" t="str"/>
      <x:c r="R104" s="110" t="str"/>
      <x:c r="S104" s="110" t="str"/>
    </x:row>
  </x:sheetData>
  <x:mergeCells>
    <x:mergeCell ref="A1:S1"/>
    <x:mergeCell ref="A2:S2"/>
  </x:mergeCells>
  <x:conditionalFormatting sqref="J5:J104">
    <x:cfRule type="containsText" dxfId="60" priority="1" operator="containsText" text="绿"/>
    <x:cfRule type="containsText" dxfId="61" priority="2" operator="containsText" text="黄"/>
    <x:cfRule type="containsText" dxfId="62" priority="3" operator="containsText" text="红"/>
  </x:conditionalFormatting>
  <x:conditionalFormatting sqref="R5:R104">
    <x:cfRule type="containsText" dxfId="63" priority="4" operator="containsText" text="已完成"/>
    <x:cfRule type="containsText" dxfId="64" priority="5" operator="containsText" text="已通过"/>
    <x:cfRule type="containsText" dxfId="65" priority="6" operator="containsText" text="进行中"/>
    <x:cfRule type="containsText" dxfId="66" priority="7" operator="containsText" text="待审核"/>
    <x:cfRule type="containsText" dxfId="67" priority="8" operator="containsText" text="阻塞"/>
  </x:conditionalFormatting>
  <x:dataValidations count="5">
    <x:dataValidation type="list" sqref="C5:C104">
      <x:formula1>"历史原件,后世历史艺术,现代插画,AI 再现,文献影像"</x:formula1>
    </x:dataValidation>
    <x:dataValidation type="list" sqref="G5:G104">
      <x:formula1>"题名明确,馆藏著录认定,学术研究认定,传统传称,很可能,可能,已否定认定"</x:formula1>
    </x:dataValidation>
    <x:dataValidation type="list" sqref="J5:J104">
      <x:formula1>"绿,黄,红"</x:formula1>
    </x:dataValidation>
    <x:dataValidation type="list" sqref="M5:O104">
      <x:formula1>"是,否,待确认"</x:formula1>
    </x:dataValidation>
    <x:dataValidation type="list" sqref="R5:R104">
      <x:formula1>"未开始,待补来源,一校完成,二校完成,学术审核中,权利审核中,已通过,阻塞"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c911f5a95b447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6" hidden="0" customWidth="1"/>
    <x:col min="4" max="4" width="38" hidden="0" customWidth="1"/>
    <x:col min="5" max="5" width="32" hidden="0" customWidth="1"/>
    <x:col min="6" max="6" width="50" hidden="0" customWidth="1"/>
    <x:col min="7" max="7" width="14" hidden="0" customWidth="1"/>
    <x:col min="8" max="8" width="32" hidden="0" customWidth="1"/>
    <x:col min="9" max="9" width="38" hidden="0" customWidth="1"/>
    <x:col min="10" max="10" width="13" hidden="0" customWidth="1"/>
    <x:col min="11" max="11" width="28" hidden="0" customWidth="1"/>
  </x:cols>
  <x:sheetData>
    <x:row r="1" ht="34" customHeight="1">
      <x:c r="A1" s="3" t="str">
        <x:v>决策日志</x:v>
      </x:c>
    </x:row>
    <x:row r="2" ht="24" customHeight="1">
      <x:c r="A2" s="6" t="str">
        <x:v>任何会改变范围、数据模型、权利边界或批次顺序的决定都应登记，保证后续轮次知道为何这样做</x:v>
      </x:c>
    </x:row>
    <x:row r="4" ht="32" customHeight="1">
      <x:c r="A4" s="92" t="str">
        <x:v>决策 ID</x:v>
      </x:c>
      <x:c r="B4" s="93" t="str">
        <x:v>日期</x:v>
      </x:c>
      <x:c r="C4" s="93" t="str">
        <x:v>问题</x:v>
      </x:c>
      <x:c r="D4" s="93" t="str">
        <x:v>考虑的选项</x:v>
      </x:c>
      <x:c r="E4" s="93" t="str">
        <x:v>最终决定</x:v>
      </x:c>
      <x:c r="F4" s="93" t="str">
        <x:v>理由与证据</x:v>
      </x:c>
      <x:c r="G4" s="93" t="str">
        <x:v>决策人</x:v>
      </x:c>
      <x:c r="H4" s="93" t="str">
        <x:v>影响</x:v>
      </x:c>
      <x:c r="I4" s="93" t="str">
        <x:v>复核触发器</x:v>
      </x:c>
      <x:c r="J4" s="93" t="str">
        <x:v>状态</x:v>
      </x:c>
      <x:c r="K4" s="94" t="str">
        <x:v>备注</x:v>
      </x:c>
    </x:row>
    <x:row r="5" ht="46" customHeight="1">
      <x:c r="A5" s="99" t="str">
        <x:v>DEC-001</x:v>
      </x:c>
      <x:c r="B5" s="113" t="n">
        <x:v>46246</x:v>
      </x:c>
      <x:c r="C5" s="99" t="str">
        <x:v>底层最小单位是什么</x:v>
      </x:c>
      <x:c r="D5" s="99" t="str">
        <x:v>文章；事实表；可溯源主张</x:v>
      </x:c>
      <x:c r="E5" s="99" t="str">
        <x:v>可溯源主张</x:v>
      </x:c>
      <x:c r="F5" s="99" t="str">
        <x:v>文章无法表达冲突、版本与逐条证据</x:v>
      </x:c>
      <x:c r="G5" s="103" t="str">
        <x:v>用户＋AI</x:v>
      </x:c>
      <x:c r="H5" s="103" t="str">
        <x:v>全局数据与产品</x:v>
      </x:c>
      <x:c r="I5" s="103" t="str">
        <x:v>若真实难例无法表达则重开</x:v>
      </x:c>
      <x:c r="J5" s="103" t="str">
        <x:v>已决定</x:v>
      </x:c>
      <x:c r="K5" s="103" t="str"/>
    </x:row>
    <x:row r="6" ht="46" customHeight="1">
      <x:c r="A6" s="100" t="str">
        <x:v>DEC-002</x:v>
      </x:c>
      <x:c r="B6" s="114" t="n">
        <x:v>46246</x:v>
      </x:c>
      <x:c r="C6" s="100" t="str">
        <x:v>第一阶段范围</x:v>
      </x:c>
      <x:c r="D6" s="100" t="str">
        <x:v>只做康雍；先建十二帝骨架再深挖康熙</x:v>
      </x:c>
      <x:c r="E6" s="100" t="str">
        <x:v>十二帝骨架＋康熙样卷</x:v>
      </x:c>
      <x:c r="F6" s="100" t="str">
        <x:v>既提供全朝导航又避免十二帝同时浅写</x:v>
      </x:c>
      <x:c r="G6" s="104" t="str">
        <x:v>用户＋AI</x:v>
      </x:c>
      <x:c r="H6" s="104" t="str">
        <x:v>范围与样本</x:v>
      </x:c>
      <x:c r="I6" s="104" t="str">
        <x:v>若康熙模板不能复用则重开</x:v>
      </x:c>
      <x:c r="J6" s="104" t="str">
        <x:v>已决定</x:v>
      </x:c>
      <x:c r="K6" s="104" t="str"/>
    </x:row>
    <x:row r="7" ht="46" customHeight="1">
      <x:c r="A7" s="100" t="str">
        <x:v>DEC-003</x:v>
      </x:c>
      <x:c r="B7" s="114" t="n">
        <x:v>46246</x:v>
      </x:c>
      <x:c r="C7" s="100" t="str">
        <x:v>史料是否设全局可信度分数</x:v>
      </x:c>
      <x:c r="D7" s="100" t="str">
        <x:v>单一分数；按材料性质和具体命题判断</x:v>
      </x:c>
      <x:c r="E7" s="100" t="str">
        <x:v>不设全局分数</x:v>
      </x:c>
      <x:c r="F7" s="100" t="str">
        <x:v>同一史料对不同问题的证据价值不同</x:v>
      </x:c>
      <x:c r="G7" s="104" t="str">
        <x:v>AI</x:v>
      </x:c>
      <x:c r="H7" s="104" t="str">
        <x:v>审核方法</x:v>
      </x:c>
      <x:c r="I7" s="104" t="str">
        <x:v>若用户无法理解证据状态则改展示</x:v>
      </x:c>
      <x:c r="J7" s="104" t="str">
        <x:v>已决定</x:v>
      </x:c>
      <x:c r="K7" s="104" t="str"/>
    </x:row>
    <x:row r="8" ht="46" customHeight="1">
      <x:c r="A8" s="100" t="str">
        <x:v>DEC-004</x:v>
      </x:c>
      <x:c r="B8" s="114" t="n">
        <x:v>46246</x:v>
      </x:c>
      <x:c r="C8" s="100" t="str">
        <x:v>未确认权利图像如何处理</x:v>
      </x:c>
      <x:c r="D8" s="100" t="str">
        <x:v>先展示；仅元数据外链；禁用记录</x:v>
      </x:c>
      <x:c r="E8" s="100" t="str">
        <x:v>黄色仅元数据＋外链；红色禁发</x:v>
      </x:c>
      <x:c r="F8" s="100" t="str">
        <x:v>公开可见不等于可再利用</x:v>
      </x:c>
      <x:c r="G8" s="104" t="str">
        <x:v>AI</x:v>
      </x:c>
      <x:c r="H8" s="104" t="str">
        <x:v>图像与法律风险</x:v>
      </x:c>
      <x:c r="I8" s="104" t="str">
        <x:v>获得许可或明确开放标记</x:v>
      </x:c>
      <x:c r="J8" s="104" t="str">
        <x:v>已决定</x:v>
      </x:c>
      <x:c r="K8" s="104" t="str"/>
    </x:row>
    <x:row r="9" ht="46" customHeight="1">
      <x:c r="A9" s="100" t="str">
        <x:v>DEC-005</x:v>
      </x:c>
      <x:c r="B9" s="114" t="n">
        <x:v>46246</x:v>
      </x:c>
      <x:c r="C9" s="100" t="str">
        <x:v>AI 的状态边界</x:v>
      </x:c>
      <x:c r="D9" s="100" t="str">
        <x:v>自动认定；来源回查；用户抽查</x:v>
      </x:c>
      <x:c r="E9" s="100" t="str">
        <x:v>机器提取与来源回查分层</x:v>
      </x:c>
      <x:c r="F9" s="100" t="str">
        <x:v>流畅输出可能放大历史错误</x:v>
      </x:c>
      <x:c r="G9" s="104" t="str">
        <x:v>用户＋AI</x:v>
      </x:c>
      <x:c r="H9" s="104" t="str">
        <x:v>编辑与技术</x:v>
      </x:c>
      <x:c r="I9" s="104" t="str">
        <x:v>不得把M0伪装成已核验</x:v>
      </x:c>
      <x:c r="J9" s="104" t="str">
        <x:v>已决定</x:v>
      </x:c>
      <x:c r="K9" s="104" t="str"/>
    </x:row>
    <x:row r="10" ht="46" customHeight="1">
      <x:c r="A10" s="100" t="str">
        <x:v>DEC-006</x:v>
      </x:c>
      <x:c r="B10" s="114" t="n">
        <x:v>46246</x:v>
      </x:c>
      <x:c r="C10" s="100" t="str">
        <x:v>未知冲突与缺失如何保存</x:v>
      </x:c>
      <x:c r="D10" s="100" t="str">
        <x:v>备注；覆盖；正式状态</x:v>
      </x:c>
      <x:c r="E10" s="100" t="str">
        <x:v>作为正式数据状态</x:v>
      </x:c>
      <x:c r="F10" s="100" t="str">
        <x:v>不确定性本身是研究结果</x:v>
      </x:c>
      <x:c r="G10" s="104" t="str">
        <x:v>AI</x:v>
      </x:c>
      <x:c r="H10" s="104" t="str">
        <x:v>数据模型</x:v>
      </x:c>
      <x:c r="I10" s="104" t="str">
        <x:v>无</x:v>
      </x:c>
      <x:c r="J10" s="104" t="str">
        <x:v>已决定</x:v>
      </x:c>
      <x:c r="K10" s="104" t="str"/>
    </x:row>
    <x:row r="11" ht="46" customHeight="1">
      <x:c r="A11" s="100" t="str">
        <x:v>DEC-007</x:v>
      </x:c>
      <x:c r="B11" s="114" t="n">
        <x:v>46246</x:v>
      </x:c>
      <x:c r="C11" s="100" t="str">
        <x:v>现金预算</x:v>
      </x:c>
      <x:c r="D11" s="100" t="str">
        <x:v>机构预算；个人零预算</x:v>
      </x:c>
      <x:c r="E11" s="100" t="str">
        <x:v>固定0元</x:v>
      </x:c>
      <x:c r="F11" s="100" t="str">
        <x:v>使用现有工具和公开资料；付费材料登记缺口</x:v>
      </x:c>
      <x:c r="G11" s="104" t="str">
        <x:v>用户</x:v>
      </x:c>
      <x:c r="H11" s="104" t="str">
        <x:v>全项目</x:v>
      </x:c>
      <x:c r="I11" s="104" t="str">
        <x:v>用户主动改变约束时重开</x:v>
      </x:c>
      <x:c r="J11" s="104" t="str">
        <x:v>已决定</x:v>
      </x:c>
      <x:c r="K11" s="104" t="str"/>
    </x:row>
    <x:row r="12" ht="46" customHeight="1">
      <x:c r="A12" s="100" t="str">
        <x:v>DEC-008</x:v>
      </x:c>
      <x:c r="B12" s="114" t="n">
        <x:v>46246</x:v>
      </x:c>
      <x:c r="C12" s="100" t="str">
        <x:v>本地数据技术</x:v>
      </x:c>
      <x:c r="D12" s="100" t="str">
        <x:v>复杂数据库；CSV/Markdown/SQLite</x:v>
      </x:c>
      <x:c r="E12" s="100" t="str">
        <x:v>先用CSV和Markdown；需要时SQLite</x:v>
      </x:c>
      <x:c r="F12" s="100" t="str">
        <x:v>当前规模不值得先上云服务或图数据库</x:v>
      </x:c>
      <x:c r="G12" s="104" t="str">
        <x:v>AI</x:v>
      </x:c>
      <x:c r="H12" s="104" t="str">
        <x:v>技术架构</x:v>
      </x:c>
      <x:c r="I12" s="104" t="str">
        <x:v>查询或一致性需求证明不足</x:v>
      </x:c>
      <x:c r="J12" s="104" t="str">
        <x:v>已决定</x:v>
      </x:c>
      <x:c r="K12" s="104" t="str"/>
    </x:row>
    <x:row r="13" ht="46" customHeight="1">
      <x:c r="A13" s="100" t="str">
        <x:v>DEC-009</x:v>
      </x:c>
      <x:c r="B13" s="114" t="n">
        <x:v>46246</x:v>
      </x:c>
      <x:c r="C13" s="100" t="str">
        <x:v>《清史稿》的角色</x:v>
      </x:c>
      <x:c r="D13" s="100" t="str">
        <x:v>最终事实层；线索与后出史料</x:v>
      </x:c>
      <x:c r="E13" s="100" t="str">
        <x:v>线索与一类后出证据</x:v>
      </x:c>
      <x:c r="F13" s="100" t="str">
        <x:v>它是未定稿且存在错讹，核心主张不得仅靠它</x:v>
      </x:c>
      <x:c r="G13" s="104" t="str">
        <x:v>AI</x:v>
      </x:c>
      <x:c r="H13" s="104" t="str">
        <x:v>来源政策</x:v>
      </x:c>
      <x:c r="I13" s="104" t="str">
        <x:v>无</x:v>
      </x:c>
      <x:c r="J13" s="104" t="str">
        <x:v>已决定</x:v>
      </x:c>
      <x:c r="K13" s="104" t="str"/>
    </x:row>
  </x:sheetData>
  <x:mergeCells>
    <x:mergeCell ref="A1:K1"/>
    <x:mergeCell ref="A2:K2"/>
  </x:mergeCells>
  <x:conditionalFormatting sqref="J5:J13">
    <x:cfRule type="containsText" dxfId="68" priority="1" operator="containsText" text="已完成"/>
    <x:cfRule type="containsText" dxfId="69" priority="2" operator="containsText" text="已通过"/>
    <x:cfRule type="containsText" dxfId="70" priority="3" operator="containsText" text="进行中"/>
    <x:cfRule type="containsText" dxfId="71" priority="4" operator="containsText" text="待审核"/>
    <x:cfRule type="containsText" dxfId="72" priority="5" operator="containsText" text="阻塞"/>
  </x:conditionalFormatting>
  <x:dataValidations count="1">
    <x:dataValidation type="list" sqref="J5:J13">
      <x:formula1>"待决定,已决定,已取代,已重开"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85008f860d4b8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10" hidden="0" customWidth="1"/>
    <x:col min="5" max="5" width="10" hidden="0" customWidth="1"/>
    <x:col min="6" max="6" width="42" hidden="0" customWidth="1"/>
    <x:col min="7" max="7" width="45" hidden="0" customWidth="1"/>
    <x:col min="8" max="8" width="16" hidden="0" customWidth="1"/>
    <x:col min="9" max="9" width="14" hidden="0" customWidth="1"/>
    <x:col min="10" max="10" width="16" hidden="0" customWidth="1"/>
  </x:cols>
  <x:sheetData>
    <x:row r="1" ht="34" customHeight="1">
      <x:c r="A1" s="3" t="str">
        <x:v>Phase 0 风险登记</x:v>
      </x:c>
    </x:row>
    <x:row r="2" ht="24" customHeight="1">
      <x:c r="A2" s="6" t="str">
        <x:v>风险分数 = 概率 × 影响；15–25 为红色、8–14 为黄色、1–7 为绿色。公式列不可手填。</x:v>
      </x:c>
    </x:row>
    <x:row r="4" ht="32" customHeight="1">
      <x:c r="A4" s="92" t="str">
        <x:v>风险 ID</x:v>
      </x:c>
      <x:c r="B4" s="93" t="str">
        <x:v>风险</x:v>
      </x:c>
      <x:c r="C4" s="93" t="str">
        <x:v>概率 P</x:v>
      </x:c>
      <x:c r="D4" s="93" t="str">
        <x:v>影响 I</x:v>
      </x:c>
      <x:c r="E4" s="93" t="str">
        <x:v>分数</x:v>
      </x:c>
      <x:c r="F4" s="93" t="str">
        <x:v>早期触发信号</x:v>
      </x:c>
      <x:c r="G4" s="93" t="str">
        <x:v>应对措施</x:v>
      </x:c>
      <x:c r="H4" s="93" t="str">
        <x:v>责任角色</x:v>
      </x:c>
      <x:c r="I4" s="93" t="str">
        <x:v>状态</x:v>
      </x:c>
      <x:c r="J4" s="94" t="str">
        <x:v>截止/复核日期</x:v>
      </x:c>
    </x:row>
    <x:row r="5" ht="40" customHeight="1">
      <x:c r="A5" s="99" t="str">
        <x:v>R01</x:v>
      </x:c>
      <x:c r="B5" s="99" t="str">
        <x:v>范围从逐批推进膨胀为一次做完</x:v>
      </x:c>
      <x:c r="C5" s="99" t="n">
        <x:v>5</x:v>
      </x:c>
      <x:c r="D5" s="99" t="n">
        <x:v>5</x:v>
      </x:c>
      <x:c r="E5" s="99" t="n">
        <x:f>C5*D5</x:f>
        <x:v>25</x:v>
      </x:c>
      <x:c r="F5" s="99" t="str">
        <x:v>不断加人加专题而首批未回查</x:v>
      </x:c>
      <x:c r="G5" s="99" t="str">
        <x:v>所有新增进入任务队列；每轮只做一个来源或20—30条主张</x:v>
      </x:c>
      <x:c r="H5" s="103" t="str">
        <x:v>用户、AI</x:v>
      </x:c>
      <x:c r="I5" s="103" t="str">
        <x:v>开放</x:v>
      </x:c>
      <x:c r="J5" s="105" t="str"/>
    </x:row>
    <x:row r="6" ht="40" customHeight="1">
      <x:c r="A6" s="100" t="str">
        <x:v>R02</x:v>
      </x:c>
      <x:c r="B6" s="100" t="str">
        <x:v>把《清史稿》当最终事实库</x:v>
      </x:c>
      <x:c r="C6" s="100" t="n">
        <x:v>4</x:v>
      </x:c>
      <x:c r="D6" s="100" t="n">
        <x:v>5</x:v>
      </x:c>
      <x:c r="E6" s="100" t="n">
        <x:f>C6*D6</x:f>
        <x:v>20</x:v>
      </x:c>
      <x:c r="F6" s="100" t="str">
        <x:v>大量主张只有《清史稿》单一出处</x:v>
      </x:c>
      <x:c r="G6" s="100" t="str">
        <x:v>高风险事实回到实录、档案或独立来源；固定未定稿提示</x:v>
      </x:c>
      <x:c r="H6" s="104" t="str">
        <x:v>AI</x:v>
      </x:c>
      <x:c r="I6" s="104" t="str">
        <x:v>开放</x:v>
      </x:c>
      <x:c r="J6" s="106" t="str"/>
    </x:row>
    <x:row r="7" ht="40" customHeight="1">
      <x:c r="A7" s="100" t="str">
        <x:v>R03</x:v>
      </x:c>
      <x:c r="B7" s="100" t="str">
        <x:v>玉牒被简化为静态家谱</x:v>
      </x:c>
      <x:c r="C7" s="100" t="n">
        <x:v>4</x:v>
      </x:c>
      <x:c r="D7" s="100" t="n">
        <x:v>5</x:v>
      </x:c>
      <x:c r="E7" s="100" t="n">
        <x:f>C7*D7</x:f>
        <x:v>20</x:v>
      </x:c>
      <x:c r="F7" s="100" t="str">
        <x:v>无版本无有效时间且母系关系混写</x:v>
      </x:c>
      <x:c r="G7" s="100" t="str">
        <x:v>关系绑定版本与时间；原件未见标玉牒待核</x:v>
      </x:c>
      <x:c r="H7" s="104" t="str">
        <x:v>AI、用户</x:v>
      </x:c>
      <x:c r="I7" s="104" t="str">
        <x:v>开放</x:v>
      </x:c>
      <x:c r="J7" s="106" t="str"/>
    </x:row>
    <x:row r="8" ht="40" customHeight="1">
      <x:c r="A8" s="100" t="str">
        <x:v>R04</x:v>
      </x:c>
      <x:c r="B8" s="100" t="str">
        <x:v>版权或档案公布权误判</x:v>
      </x:c>
      <x:c r="C8" s="100" t="n">
        <x:v>4</x:v>
      </x:c>
      <x:c r="D8" s="100" t="n">
        <x:v>5</x:v>
      </x:c>
      <x:c r="E8" s="100" t="n">
        <x:f>C8*D8</x:f>
        <x:v>20</x:v>
      </x:c>
      <x:c r="F8" s="100" t="str">
        <x:v>把网页能看等同于能抓取</x:v>
      </x:c>
      <x:c r="G8" s="100" t="str">
        <x:v>三色台账先行；黄色外链；逐文件核许可</x:v>
      </x:c>
      <x:c r="H8" s="104" t="str">
        <x:v>AI</x:v>
      </x:c>
      <x:c r="I8" s="104" t="str">
        <x:v>开放</x:v>
      </x:c>
      <x:c r="J8" s="106" t="str"/>
    </x:row>
    <x:row r="9" ht="40" customHeight="1">
      <x:c r="A9" s="100" t="str">
        <x:v>R05</x:v>
      </x:c>
      <x:c r="B9" s="100" t="str">
        <x:v>AI 幻觉进入发布层</x:v>
      </x:c>
      <x:c r="C9" s="100" t="n">
        <x:v>4</x:v>
      </x:c>
      <x:c r="D9" s="100" t="n">
        <x:v>5</x:v>
      </x:c>
      <x:c r="E9" s="100" t="n">
        <x:f>C9*D9</x:f>
        <x:v>20</x:v>
      </x:c>
      <x:c r="F9" s="100" t="str">
        <x:v>流畅文本无 Assertion ID 或卷页</x:v>
      </x:c>
      <x:c r="G9" s="100" t="str">
        <x:v>隔离机器候选和回查层；M0不得进叙事</x:v>
      </x:c>
      <x:c r="H9" s="104" t="str">
        <x:v>AI、用户</x:v>
      </x:c>
      <x:c r="I9" s="104" t="str">
        <x:v>开放</x:v>
      </x:c>
      <x:c r="J9" s="106" t="str"/>
    </x:row>
    <x:row r="10" ht="40" customHeight="1">
      <x:c r="A10" s="100" t="str">
        <x:v>R06</x:v>
      </x:c>
      <x:c r="B10" s="100" t="str">
        <x:v>人物异名误合并</x:v>
      </x:c>
      <x:c r="C10" s="100" t="n">
        <x:v>4</x:v>
      </x:c>
      <x:c r="D10" s="100" t="n">
        <x:v>5</x:v>
      </x:c>
      <x:c r="E10" s="100" t="n">
        <x:f>C10*D10</x:f>
        <x:v>20</x:v>
      </x:c>
      <x:c r="F10" s="100" t="str">
        <x:v>同名人物共享亲属或任官记录</x:v>
      </x:c>
      <x:c r="G10" s="100" t="str">
        <x:v>合并需证据、第二Agent复查且可回滚</x:v>
      </x:c>
      <x:c r="H10" s="104" t="str">
        <x:v>AI</x:v>
      </x:c>
      <x:c r="I10" s="104" t="str">
        <x:v>开放</x:v>
      </x:c>
      <x:c r="J10" s="106" t="str"/>
    </x:row>
    <x:row r="11" ht="40" customHeight="1">
      <x:c r="A11" s="100" t="str">
        <x:v>R07</x:v>
      </x:c>
      <x:c r="B11" s="100" t="str">
        <x:v>历史日期换算错误</x:v>
      </x:c>
      <x:c r="C11" s="100" t="n">
        <x:v>3</x:v>
      </x:c>
      <x:c r="D11" s="100" t="n">
        <x:v>5</x:v>
      </x:c>
      <x:c r="E11" s="100" t="n">
        <x:f>C11*D11</x:f>
        <x:v>15</x:v>
      </x:c>
      <x:c r="F11" s="100" t="str">
        <x:v>闰月缺失或来源只存公历</x:v>
      </x:c>
      <x:c r="G11" s="100" t="str">
        <x:v>原值、算法版本、精度并存；用户抽查</x:v>
      </x:c>
      <x:c r="H11" s="104" t="str">
        <x:v>AI、用户</x:v>
      </x:c>
      <x:c r="I11" s="104" t="str">
        <x:v>开放</x:v>
      </x:c>
      <x:c r="J11" s="106" t="str"/>
    </x:row>
    <x:row r="12" ht="40" customHeight="1">
      <x:c r="A12" s="100" t="str">
        <x:v>R08</x:v>
      </x:c>
      <x:c r="B12" s="100" t="str">
        <x:v>画像人物或年代错认</x:v>
      </x:c>
      <x:c r="C12" s="100" t="n">
        <x:v>3</x:v>
      </x:c>
      <x:c r="D12" s="100" t="n">
        <x:v>5</x:v>
      </x:c>
      <x:c r="E12" s="100" t="n">
        <x:f>C12*D12</x:f>
        <x:v>15</x:v>
      </x:c>
      <x:c r="F12" s="100" t="str">
        <x:v>把文件题名直接写成确定事实</x:v>
      </x:c>
      <x:c r="G12" s="100" t="str">
        <x:v>人物认定单列；保留旧定名、馆藏与争议</x:v>
      </x:c>
      <x:c r="H12" s="104" t="str">
        <x:v>AI</x:v>
      </x:c>
      <x:c r="I12" s="104" t="str">
        <x:v>开放</x:v>
      </x:c>
      <x:c r="J12" s="106" t="str"/>
    </x:row>
    <x:row r="13" ht="40" customHeight="1">
      <x:c r="A13" s="100" t="str">
        <x:v>R09</x:v>
      </x:c>
      <x:c r="B13" s="100" t="str">
        <x:v>录文标点译释相互覆盖</x:v>
      </x:c>
      <x:c r="C13" s="100" t="n">
        <x:v>3</x:v>
      </x:c>
      <x:c r="D13" s="100" t="n">
        <x:v>5</x:v>
      </x:c>
      <x:c r="E13" s="100" t="n">
        <x:f>C13*D13</x:f>
        <x:v>15</x:v>
      </x:c>
      <x:c r="F13" s="100" t="str">
        <x:v>数据库只有一列正文</x:v>
      </x:c>
      <x:c r="G13" s="100" t="str">
        <x:v>原文、录文、标点、规范化和译释分层</x:v>
      </x:c>
      <x:c r="H13" s="104" t="str">
        <x:v>AI</x:v>
      </x:c>
      <x:c r="I13" s="104" t="str">
        <x:v>开放</x:v>
      </x:c>
      <x:c r="J13" s="106" t="str"/>
    </x:row>
    <x:row r="14" ht="40" customHeight="1">
      <x:c r="A14" s="100" t="str">
        <x:v>R10</x:v>
      </x:c>
      <x:c r="B14" s="100" t="str">
        <x:v>满文材料被系统性忽略</x:v>
      </x:c>
      <x:c r="C14" s="100" t="n">
        <x:v>4</x:v>
      </x:c>
      <x:c r="D14" s="100" t="n">
        <x:v>4</x:v>
      </x:c>
      <x:c r="E14" s="100" t="n">
        <x:f>C14*D14</x:f>
        <x:v>16</x:v>
      </x:c>
      <x:c r="F14" s="100" t="str">
        <x:v>宫廷或边疆结论只用汉文材料</x:v>
      </x:c>
      <x:c r="G14" s="100" t="str">
        <x:v>明确标语言缺口；未经专项能力不自动定译</x:v>
      </x:c>
      <x:c r="H14" s="104" t="str">
        <x:v>AI</x:v>
      </x:c>
      <x:c r="I14" s="104" t="str">
        <x:v>开放</x:v>
      </x:c>
      <x:c r="J14" s="106" t="str"/>
    </x:row>
    <x:row r="15" ht="40" customHeight="1">
      <x:c r="A15" s="100" t="str">
        <x:v>R11</x:v>
      </x:c>
      <x:c r="B15" s="100" t="str">
        <x:v>巨大关系图不可读</x:v>
      </x:c>
      <x:c r="C15" s="100" t="n">
        <x:v>4</x:v>
      </x:c>
      <x:c r="D15" s="100" t="n">
        <x:v>3</x:v>
      </x:c>
      <x:c r="E15" s="100" t="n">
        <x:f>C15*D15</x:f>
        <x:v>12</x:v>
      </x:c>
      <x:c r="F15" s="100" t="str">
        <x:v>默认一次展开数百节点</x:v>
      </x:c>
      <x:c r="G15" s="100" t="str">
        <x:v>以人为中心、按需展开并可按时间和关系过滤</x:v>
      </x:c>
      <x:c r="H15" s="104" t="str">
        <x:v>AI</x:v>
      </x:c>
      <x:c r="I15" s="104" t="str">
        <x:v>开放</x:v>
      </x:c>
      <x:c r="J15" s="106" t="str"/>
    </x:row>
    <x:row r="16" ht="40" customHeight="1">
      <x:c r="A16" s="100" t="str">
        <x:v>R12</x:v>
      </x:c>
      <x:c r="B16" s="100" t="str">
        <x:v>过度工程拖慢内容</x:v>
      </x:c>
      <x:c r="C16" s="100" t="n">
        <x:v>3</x:v>
      </x:c>
      <x:c r="D16" s="100" t="n">
        <x:v>4</x:v>
      </x:c>
      <x:c r="E16" s="100" t="n">
        <x:f>C16*D16</x:f>
        <x:v>12</x:v>
      </x:c>
      <x:c r="F16" s="100" t="str">
        <x:v>先搭复杂数据库而真实条目未增加</x:v>
      </x:c>
      <x:c r="G16" s="100" t="str">
        <x:v>CSV/Markdown优先；SQLite不足时再升级</x:v>
      </x:c>
      <x:c r="H16" s="104" t="str">
        <x:v>AI</x:v>
      </x:c>
      <x:c r="I16" s="104" t="str">
        <x:v>开放</x:v>
      </x:c>
      <x:c r="J16" s="106" t="str"/>
    </x:row>
    <x:row r="17" ht="40" customHeight="1">
      <x:c r="A17" s="100" t="str">
        <x:v>R13</x:v>
      </x:c>
      <x:c r="B17" s="100" t="str">
        <x:v>外部链接失效或内容变化</x:v>
      </x:c>
      <x:c r="C17" s="100" t="n">
        <x:v>3</x:v>
      </x:c>
      <x:c r="D17" s="100" t="n">
        <x:v>3</x:v>
      </x:c>
      <x:c r="E17" s="100" t="n">
        <x:f>C17*D17</x:f>
        <x:v>9</x:v>
      </x:c>
      <x:c r="F17" s="100" t="str">
        <x:v>关键主张只有URL无卷次版本</x:v>
      </x:c>
      <x:c r="G17" s="100" t="str">
        <x:v>保存稳定标识、访问日期、卷页和允许范围内哈希</x:v>
      </x:c>
      <x:c r="H17" s="104" t="str">
        <x:v>AI</x:v>
      </x:c>
      <x:c r="I17" s="104" t="str">
        <x:v>开放</x:v>
      </x:c>
      <x:c r="J17" s="106" t="str"/>
    </x:row>
    <x:row r="18" ht="40" customHeight="1">
      <x:c r="A18" s="100" t="str">
        <x:v>R14</x:v>
      </x:c>
      <x:c r="B18" s="100" t="str">
        <x:v>二手故事污染事实层</x:v>
      </x:c>
      <x:c r="C18" s="100" t="n">
        <x:v>3</x:v>
      </x:c>
      <x:c r="D18" s="100" t="n">
        <x:v>4</x:v>
      </x:c>
      <x:c r="E18" s="100" t="n">
        <x:f>C18*D18</x:f>
        <x:v>12</x:v>
      </x:c>
      <x:c r="F18" s="100" t="str">
        <x:v>百科自媒体说法无来源直接入库</x:v>
      </x:c>
      <x:c r="G18" s="100" t="str">
        <x:v>只作线索；重要结论必须回查</x:v>
      </x:c>
      <x:c r="H18" s="104" t="str">
        <x:v>AI</x:v>
      </x:c>
      <x:c r="I18" s="104" t="str">
        <x:v>开放</x:v>
      </x:c>
      <x:c r="J18" s="106" t="str"/>
    </x:row>
    <x:row r="19" ht="40" customHeight="1">
      <x:c r="A19" s="100" t="str">
        <x:v>R15</x:v>
      </x:c>
      <x:c r="B19" s="100" t="str">
        <x:v>在世后裔隐私泄露</x:v>
      </x:c>
      <x:c r="C19" s="100" t="n">
        <x:v>2</x:v>
      </x:c>
      <x:c r="D19" s="100" t="n">
        <x:v>5</x:v>
      </x:c>
      <x:c r="E19" s="100" t="n">
        <x:f>C19*D19</x:f>
        <x:v>10</x:v>
      </x:c>
      <x:c r="F19" s="100" t="str">
        <x:v>采集现代住址证件或敏感亲属</x:v>
      </x:c>
      <x:c r="G19" s="100" t="str">
        <x:v>当前排除在世者敏感资料；必要时隐私审查</x:v>
      </x:c>
      <x:c r="H19" s="104" t="str">
        <x:v>用户、AI</x:v>
      </x:c>
      <x:c r="I19" s="104" t="str">
        <x:v>开放</x:v>
      </x:c>
      <x:c r="J19" s="106" t="str"/>
    </x:row>
    <x:row r="20" ht="40" customHeight="1">
      <x:c r="A20" s="100" t="str">
        <x:v>R16</x:v>
      </x:c>
      <x:c r="B20" s="100" t="str">
        <x:v>以字数和条目数替代质量</x:v>
      </x:c>
      <x:c r="C20" s="100" t="n">
        <x:v>5</x:v>
      </x:c>
      <x:c r="D20" s="100" t="n">
        <x:v>4</x:v>
      </x:c>
      <x:c r="E20" s="100" t="n">
        <x:f>C20*D20</x:f>
        <x:v>20</x:v>
      </x:c>
      <x:c r="F20" s="100" t="str">
        <x:v>只汇报新增字数或人物数</x:v>
      </x:c>
      <x:c r="G20" s="100" t="str">
        <x:v>北极星改为可定位且完成回查的主张</x:v>
      </x:c>
      <x:c r="H20" s="104" t="str">
        <x:v>用户、AI</x:v>
      </x:c>
      <x:c r="I20" s="104" t="str">
        <x:v>开放</x:v>
      </x:c>
      <x:c r="J20" s="106" t="str"/>
    </x:row>
    <x:row r="21" ht="40" customHeight="1">
      <x:c r="A21" s="100" t="str">
        <x:v>R17</x:v>
      </x:c>
      <x:c r="B21" s="100" t="str">
        <x:v>零人工抽查导致错误累积</x:v>
      </x:c>
      <x:c r="C21" s="100" t="n">
        <x:v>4</x:v>
      </x:c>
      <x:c r="D21" s="100" t="n">
        <x:v>5</x:v>
      </x:c>
      <x:c r="E21" s="100" t="n">
        <x:f>C21*D21</x:f>
        <x:v>20</x:v>
      </x:c>
      <x:c r="F21" s="100" t="str">
        <x:v>候选队列增长但用户从不打开来源</x:v>
      </x:c>
      <x:c r="G21" s="100" t="str">
        <x:v>始终标AI研究草稿；每批建议抽查5条主张和2条关系</x:v>
      </x:c>
      <x:c r="H21" s="104" t="str">
        <x:v>用户</x:v>
      </x:c>
      <x:c r="I21" s="104" t="str">
        <x:v>开放</x:v>
      </x:c>
      <x:c r="J21" s="106" t="str"/>
    </x:row>
    <x:row r="22" ht="40" customHeight="1">
      <x:c r="A22" s="100" t="str">
        <x:v>R18</x:v>
      </x:c>
      <x:c r="B22" s="100" t="str">
        <x:v>许可改变后无法撤下派生物</x:v>
      </x:c>
      <x:c r="C22" s="100" t="n">
        <x:v>2</x:v>
      </x:c>
      <x:c r="D22" s="100" t="n">
        <x:v>5</x:v>
      </x:c>
      <x:c r="E22" s="100" t="n">
        <x:f>C22*D22</x:f>
        <x:v>10</x:v>
      </x:c>
      <x:c r="F22" s="100" t="str">
        <x:v>数字资产与页面无依赖关系</x:v>
      </x:c>
      <x:c r="G22" s="100" t="str">
        <x:v>资产、许可、主张和叙事建立可追踪引用</x:v>
      </x:c>
      <x:c r="H22" s="104" t="str">
        <x:v>AI</x:v>
      </x:c>
      <x:c r="I22" s="104" t="str">
        <x:v>开放</x:v>
      </x:c>
      <x:c r="J22" s="106" t="str"/>
    </x:row>
  </x:sheetData>
  <x:mergeCells>
    <x:mergeCell ref="A1:J1"/>
    <x:mergeCell ref="A2:J2"/>
  </x:mergeCells>
  <x:conditionalFormatting sqref="E5:E22">
    <x:cfRule type="cellIs" dxfId="73" priority="1" operator="greaterThanOrEqual">
      <x:formula>15</x:formula>
    </x:cfRule>
    <x:cfRule type="cellIs" dxfId="74" priority="2" operator="between">
      <x:formula>8</x:formula>
      <x:formula>14</x:formula>
    </x:cfRule>
    <x:cfRule type="cellIs" dxfId="75" priority="3" operator="lessThanOrEqual">
      <x:formula>7</x:formula>
    </x:cfRule>
  </x:conditionalFormatting>
  <x:conditionalFormatting sqref="I5:I22">
    <x:cfRule type="containsText" dxfId="76" priority="4" operator="containsText" text="已完成"/>
    <x:cfRule type="containsText" dxfId="77" priority="5" operator="containsText" text="已通过"/>
    <x:cfRule type="containsText" dxfId="78" priority="6" operator="containsText" text="进行中"/>
    <x:cfRule type="containsText" dxfId="79" priority="7" operator="containsText" text="待审核"/>
    <x:cfRule type="containsText" dxfId="80" priority="8" operator="containsText" text="阻塞"/>
  </x:conditionalFormatting>
  <x:dataValidations count="2">
    <x:dataValidation type="whole" operator="between" sqref="C5:D22">
      <x:formula1>1</x:formula1>
      <x:formula2>5</x:formula2>
    </x:dataValidation>
    <x:dataValidation type="list" sqref="I5:I22">
      <x:formula1>"开放,缓解中,已接受,已升级,已关闭"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50c6fb527046f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8" hidden="0" customWidth="1"/>
    <x:col min="5" max="5" width="30" hidden="0" customWidth="1"/>
    <x:col min="6" max="6" width="58" hidden="0" customWidth="1"/>
    <x:col min="7" max="7" width="24" hidden="0" customWidth="1"/>
    <x:col min="8" max="8" width="30" hidden="0" customWidth="1"/>
    <x:col min="9" max="9" width="12" hidden="0" customWidth="1"/>
    <x:col min="10" max="10" width="10" hidden="0" customWidth="1"/>
  </x:cols>
  <x:sheetData>
    <x:row r="1" ht="34" customHeight="1">
      <x:c r="A1" s="3" t="str">
        <x:v>Phase 0 受控词表</x:v>
      </x:c>
    </x:row>
    <x:row r="2" ht="24" customHeight="1">
      <x:c r="A2" s="6" t="str">
        <x:v>稳定系统状态用固定枚举；历史概念、关系、称号与证据性质用可版本化词表。新增同义词前先检查是否已有概念。</x:v>
      </x:c>
    </x:row>
    <x:row r="4" ht="32" customHeight="1">
      <x:c r="A4" s="92" t="str">
        <x:v>scheme_code</x:v>
      </x:c>
      <x:c r="B4" s="93" t="str">
        <x:v>scheme_label</x:v>
      </x:c>
      <x:c r="C4" s="93" t="str">
        <x:v>term_code</x:v>
      </x:c>
      <x:c r="D4" s="93" t="str">
        <x:v>中文标签</x:v>
      </x:c>
      <x:c r="E4" s="93" t="str">
        <x:v>英文标签</x:v>
      </x:c>
      <x:c r="F4" s="93" t="str">
        <x:v>定义</x:v>
      </x:c>
      <x:c r="G4" s="93" t="str">
        <x:v>上位词</x:v>
      </x:c>
      <x:c r="H4" s="93" t="str">
        <x:v>逆关系</x:v>
      </x:c>
      <x:c r="I4" s="93" t="str">
        <x:v>是否启用</x:v>
      </x:c>
      <x:c r="J4" s="94" t="str">
        <x:v>排序</x:v>
      </x:c>
    </x:row>
    <x:row r="5" ht="32" customHeight="1">
      <x:c r="A5" s="99" t="str">
        <x:v>name_type</x:v>
      </x:c>
      <x:c r="B5" s="99" t="str">
        <x:v>名称类型</x:v>
      </x:c>
      <x:c r="C5" s="99" t="str">
        <x:v>birth_name</x:v>
      </x:c>
      <x:c r="D5" s="99" t="str">
        <x:v>本名</x:v>
      </x:c>
      <x:c r="E5" s="99" t="str">
        <x:v>Birth name</x:v>
      </x:c>
      <x:c r="F5" s="99" t="str">
        <x:v>出生或早年正式使用的名字</x:v>
      </x:c>
      <x:c r="G5" s="99" t="str"/>
      <x:c r="H5" s="99" t="str"/>
      <x:c r="I5" s="99" t="str">
        <x:v>true</x:v>
      </x:c>
      <x:c r="J5" s="99" t="str">
        <x:v>10</x:v>
      </x:c>
    </x:row>
    <x:row r="6" ht="32" customHeight="1">
      <x:c r="A6" s="100" t="str">
        <x:v>name_type</x:v>
      </x:c>
      <x:c r="B6" s="100" t="str">
        <x:v>名称类型</x:v>
      </x:c>
      <x:c r="C6" s="100" t="str">
        <x:v>childhood_name</x:v>
      </x:c>
      <x:c r="D6" s="100" t="str">
        <x:v>幼名</x:v>
      </x:c>
      <x:c r="E6" s="100" t="str">
        <x:v>Childhood name</x:v>
      </x:c>
      <x:c r="F6" s="100" t="str">
        <x:v>幼年使用的称呼或名字</x:v>
      </x:c>
      <x:c r="G6" s="100" t="str"/>
      <x:c r="H6" s="100" t="str"/>
      <x:c r="I6" s="100" t="str">
        <x:v>true</x:v>
      </x:c>
      <x:c r="J6" s="100" t="str">
        <x:v>20</x:v>
      </x:c>
    </x:row>
    <x:row r="7" ht="32" customHeight="1">
      <x:c r="A7" s="100" t="str">
        <x:v>name_type</x:v>
      </x:c>
      <x:c r="B7" s="100" t="str">
        <x:v>名称类型</x:v>
      </x:c>
      <x:c r="C7" s="100" t="str">
        <x:v>taboo_form</x:v>
      </x:c>
      <x:c r="D7" s="100" t="str">
        <x:v>避讳前写法</x:v>
      </x:c>
      <x:c r="E7" s="100" t="str">
        <x:v>Pre-taboo form</x:v>
      </x:c>
      <x:c r="F7" s="100" t="str">
        <x:v>因避讳而改变前的历史写法</x:v>
      </x:c>
      <x:c r="G7" s="100" t="str"/>
      <x:c r="H7" s="100" t="str"/>
      <x:c r="I7" s="100" t="str">
        <x:v>true</x:v>
      </x:c>
      <x:c r="J7" s="100" t="str">
        <x:v>30</x:v>
      </x:c>
    </x:row>
    <x:row r="8" ht="32" customHeight="1">
      <x:c r="A8" s="100" t="str">
        <x:v>name_type</x:v>
      </x:c>
      <x:c r="B8" s="100" t="str">
        <x:v>名称类型</x:v>
      </x:c>
      <x:c r="C8" s="100" t="str">
        <x:v>post_taboo_form</x:v>
      </x:c>
      <x:c r="D8" s="100" t="str">
        <x:v>避讳后写法</x:v>
      </x:c>
      <x:c r="E8" s="100" t="str">
        <x:v>Post-taboo form</x:v>
      </x:c>
      <x:c r="F8" s="100" t="str">
        <x:v>避讳后形成的写法</x:v>
      </x:c>
      <x:c r="G8" s="100" t="str"/>
      <x:c r="H8" s="100" t="str"/>
      <x:c r="I8" s="100" t="str">
        <x:v>true</x:v>
      </x:c>
      <x:c r="J8" s="100" t="str">
        <x:v>40</x:v>
      </x:c>
    </x:row>
    <x:row r="9" ht="32" customHeight="1">
      <x:c r="A9" s="100" t="str">
        <x:v>name_type</x:v>
      </x:c>
      <x:c r="B9" s="100" t="str">
        <x:v>名称类型</x:v>
      </x:c>
      <x:c r="C9" s="100" t="str">
        <x:v>temple_name</x:v>
      </x:c>
      <x:c r="D9" s="100" t="str">
        <x:v>庙号</x:v>
      </x:c>
      <x:c r="E9" s="100" t="str">
        <x:v>Temple name</x:v>
      </x:c>
      <x:c r="F9" s="100" t="str">
        <x:v>皇帝或皇后入庙后的庙号</x:v>
      </x:c>
      <x:c r="G9" s="100" t="str"/>
      <x:c r="H9" s="100" t="str"/>
      <x:c r="I9" s="100" t="str">
        <x:v>true</x:v>
      </x:c>
      <x:c r="J9" s="100" t="str">
        <x:v>50</x:v>
      </x:c>
    </x:row>
    <x:row r="10" ht="32" customHeight="1">
      <x:c r="A10" s="100" t="str">
        <x:v>name_type</x:v>
      </x:c>
      <x:c r="B10" s="100" t="str">
        <x:v>名称类型</x:v>
      </x:c>
      <x:c r="C10" s="100" t="str">
        <x:v>posthumous_name</x:v>
      </x:c>
      <x:c r="D10" s="100" t="str">
        <x:v>谥号</x:v>
      </x:c>
      <x:c r="E10" s="100" t="str">
        <x:v>Posthumous name</x:v>
      </x:c>
      <x:c r="F10" s="100" t="str">
        <x:v>死后追加的谥号</x:v>
      </x:c>
      <x:c r="G10" s="100" t="str"/>
      <x:c r="H10" s="100" t="str"/>
      <x:c r="I10" s="100" t="str">
        <x:v>true</x:v>
      </x:c>
      <x:c r="J10" s="100" t="str">
        <x:v>60</x:v>
      </x:c>
    </x:row>
    <x:row r="11" ht="32" customHeight="1">
      <x:c r="A11" s="100" t="str">
        <x:v>name_type</x:v>
      </x:c>
      <x:c r="B11" s="100" t="str">
        <x:v>名称类型</x:v>
      </x:c>
      <x:c r="C11" s="100" t="str">
        <x:v>honorific</x:v>
      </x:c>
      <x:c r="D11" s="100" t="str">
        <x:v>尊号</x:v>
      </x:c>
      <x:c r="E11" s="100" t="str">
        <x:v>Honorific</x:v>
      </x:c>
      <x:c r="F11" s="100" t="str">
        <x:v>生前或身后加上的尊号</x:v>
      </x:c>
      <x:c r="G11" s="100" t="str"/>
      <x:c r="H11" s="100" t="str"/>
      <x:c r="I11" s="100" t="str">
        <x:v>true</x:v>
      </x:c>
      <x:c r="J11" s="100" t="str">
        <x:v>70</x:v>
      </x:c>
    </x:row>
    <x:row r="12" ht="32" customHeight="1">
      <x:c r="A12" s="100" t="str">
        <x:v>name_type</x:v>
      </x:c>
      <x:c r="B12" s="100" t="str">
        <x:v>名称类型</x:v>
      </x:c>
      <x:c r="C12" s="100" t="str">
        <x:v>title_name</x:v>
      </x:c>
      <x:c r="D12" s="100" t="str">
        <x:v>位号或爵号式称呼</x:v>
      </x:c>
      <x:c r="E12" s="100" t="str">
        <x:v>Title-style name</x:v>
      </x:c>
      <x:c r="F12" s="100" t="str">
        <x:v>由妃嫔位号爵位或身份构成的称呼</x:v>
      </x:c>
      <x:c r="G12" s="100" t="str"/>
      <x:c r="H12" s="100" t="str"/>
      <x:c r="I12" s="100" t="str">
        <x:v>true</x:v>
      </x:c>
      <x:c r="J12" s="100" t="str">
        <x:v>80</x:v>
      </x:c>
    </x:row>
    <x:row r="13" ht="32" customHeight="1">
      <x:c r="A13" s="100" t="str">
        <x:v>name_type</x:v>
      </x:c>
      <x:c r="B13" s="100" t="str">
        <x:v>名称类型</x:v>
      </x:c>
      <x:c r="C13" s="100" t="str">
        <x:v>common_name</x:v>
      </x:c>
      <x:c r="D13" s="100" t="str">
        <x:v>现代通称</x:v>
      </x:c>
      <x:c r="E13" s="100" t="str">
        <x:v>Common name</x:v>
      </x:c>
      <x:c r="F13" s="100" t="str">
        <x:v>现代读者常用但未必是同时代正式名称的称呼</x:v>
      </x:c>
      <x:c r="G13" s="100" t="str"/>
      <x:c r="H13" s="100" t="str"/>
      <x:c r="I13" s="100" t="str">
        <x:v>true</x:v>
      </x:c>
      <x:c r="J13" s="100" t="str">
        <x:v>90</x:v>
      </x:c>
    </x:row>
    <x:row r="14" ht="32" customHeight="1">
      <x:c r="A14" s="100" t="str">
        <x:v>name_type</x:v>
      </x:c>
      <x:c r="B14" s="100" t="str">
        <x:v>名称类型</x:v>
      </x:c>
      <x:c r="C14" s="100" t="str">
        <x:v>manchu_name</x:v>
      </x:c>
      <x:c r="D14" s="100" t="str">
        <x:v>满文名</x:v>
      </x:c>
      <x:c r="E14" s="100" t="str">
        <x:v>Manchu name</x:v>
      </x:c>
      <x:c r="F14" s="100" t="str">
        <x:v>满文原名或满文形式</x:v>
      </x:c>
      <x:c r="G14" s="100" t="str"/>
      <x:c r="H14" s="100" t="str"/>
      <x:c r="I14" s="100" t="str">
        <x:v>true</x:v>
      </x:c>
      <x:c r="J14" s="100" t="str">
        <x:v>100</x:v>
      </x:c>
    </x:row>
    <x:row r="15" ht="32" customHeight="1">
      <x:c r="A15" s="100" t="str">
        <x:v>name_type</x:v>
      </x:c>
      <x:c r="B15" s="100" t="str">
        <x:v>名称类型</x:v>
      </x:c>
      <x:c r="C15" s="100" t="str">
        <x:v>transliteration</x:v>
      </x:c>
      <x:c r="D15" s="100" t="str">
        <x:v>转写</x:v>
      </x:c>
      <x:c r="E15" s="100" t="str">
        <x:v>Transliteration</x:v>
      </x:c>
      <x:c r="F15" s="100" t="str">
        <x:v>按明确方案形成的罗马字或汉字转写</x:v>
      </x:c>
      <x:c r="G15" s="100" t="str"/>
      <x:c r="H15" s="100" t="str"/>
      <x:c r="I15" s="100" t="str">
        <x:v>true</x:v>
      </x:c>
      <x:c r="J15" s="100" t="str">
        <x:v>110</x:v>
      </x:c>
    </x:row>
    <x:row r="16" ht="32" customHeight="1">
      <x:c r="A16" s="100" t="str">
        <x:v>name_type</x:v>
      </x:c>
      <x:c r="B16" s="100" t="str">
        <x:v>名称类型</x:v>
      </x:c>
      <x:c r="C16" s="100" t="str">
        <x:v>variant_graph</x:v>
      </x:c>
      <x:c r="D16" s="100" t="str">
        <x:v>异体字</x:v>
      </x:c>
      <x:c r="E16" s="100" t="str">
        <x:v>Graphic variant</x:v>
      </x:c>
      <x:c r="F16" s="100" t="str">
        <x:v>同一名称的异体或俗体字写法</x:v>
      </x:c>
      <x:c r="G16" s="100" t="str"/>
      <x:c r="H16" s="100" t="str"/>
      <x:c r="I16" s="100" t="str">
        <x:v>true</x:v>
      </x:c>
      <x:c r="J16" s="100" t="str">
        <x:v>120</x:v>
      </x:c>
    </x:row>
    <x:row r="17" ht="32" customHeight="1">
      <x:c r="A17" s="100" t="str">
        <x:v>relationship_type</x:v>
      </x:c>
      <x:c r="B17" s="100" t="str">
        <x:v>关系类型</x:v>
      </x:c>
      <x:c r="C17" s="100" t="str">
        <x:v>has_biological_father</x:v>
      </x:c>
      <x:c r="D17" s="100" t="str">
        <x:v>生父为</x:v>
      </x:c>
      <x:c r="E17" s="100" t="str">
        <x:v>Has biological father</x:v>
      </x:c>
      <x:c r="F17" s="100" t="str">
        <x:v>主体的生物学父亲是客体</x:v>
      </x:c>
      <x:c r="G17" s="100" t="str">
        <x:v>kinship</x:v>
      </x:c>
      <x:c r="H17" s="100" t="str">
        <x:v>biological_father_of</x:v>
      </x:c>
      <x:c r="I17" s="100" t="str">
        <x:v>true</x:v>
      </x:c>
      <x:c r="J17" s="100" t="str">
        <x:v>10</x:v>
      </x:c>
    </x:row>
    <x:row r="18" ht="32" customHeight="1">
      <x:c r="A18" s="100" t="str">
        <x:v>relationship_type</x:v>
      </x:c>
      <x:c r="B18" s="100" t="str">
        <x:v>关系类型</x:v>
      </x:c>
      <x:c r="C18" s="100" t="str">
        <x:v>biological_father_of</x:v>
      </x:c>
      <x:c r="D18" s="100" t="str">
        <x:v>为生父</x:v>
      </x:c>
      <x:c r="E18" s="100" t="str">
        <x:v>Biological father of</x:v>
      </x:c>
      <x:c r="F18" s="100" t="str">
        <x:v>主体是客体的生物学父亲</x:v>
      </x:c>
      <x:c r="G18" s="100" t="str">
        <x:v>kinship</x:v>
      </x:c>
      <x:c r="H18" s="100" t="str">
        <x:v>has_biological_father</x:v>
      </x:c>
      <x:c r="I18" s="100" t="str">
        <x:v>true</x:v>
      </x:c>
      <x:c r="J18" s="100" t="str">
        <x:v>20</x:v>
      </x:c>
    </x:row>
    <x:row r="19" ht="32" customHeight="1">
      <x:c r="A19" s="100" t="str">
        <x:v>relationship_type</x:v>
      </x:c>
      <x:c r="B19" s="100" t="str">
        <x:v>关系类型</x:v>
      </x:c>
      <x:c r="C19" s="100" t="str">
        <x:v>has_biological_mother</x:v>
      </x:c>
      <x:c r="D19" s="100" t="str">
        <x:v>生母为</x:v>
      </x:c>
      <x:c r="E19" s="100" t="str">
        <x:v>Has biological mother</x:v>
      </x:c>
      <x:c r="F19" s="100" t="str">
        <x:v>主体的生物学母亲是客体</x:v>
      </x:c>
      <x:c r="G19" s="100" t="str">
        <x:v>kinship</x:v>
      </x:c>
      <x:c r="H19" s="100" t="str">
        <x:v>biological_mother_of</x:v>
      </x:c>
      <x:c r="I19" s="100" t="str">
        <x:v>true</x:v>
      </x:c>
      <x:c r="J19" s="100" t="str">
        <x:v>30</x:v>
      </x:c>
    </x:row>
    <x:row r="20" ht="32" customHeight="1">
      <x:c r="A20" s="100" t="str">
        <x:v>relationship_type</x:v>
      </x:c>
      <x:c r="B20" s="100" t="str">
        <x:v>关系类型</x:v>
      </x:c>
      <x:c r="C20" s="100" t="str">
        <x:v>biological_mother_of</x:v>
      </x:c>
      <x:c r="D20" s="100" t="str">
        <x:v>为生母</x:v>
      </x:c>
      <x:c r="E20" s="100" t="str">
        <x:v>Biological mother of</x:v>
      </x:c>
      <x:c r="F20" s="100" t="str">
        <x:v>主体是客体的生物学母亲</x:v>
      </x:c>
      <x:c r="G20" s="100" t="str">
        <x:v>kinship</x:v>
      </x:c>
      <x:c r="H20" s="100" t="str">
        <x:v>has_biological_mother</x:v>
      </x:c>
      <x:c r="I20" s="100" t="str">
        <x:v>true</x:v>
      </x:c>
      <x:c r="J20" s="100" t="str">
        <x:v>40</x:v>
      </x:c>
    </x:row>
    <x:row r="21" ht="32" customHeight="1">
      <x:c r="A21" s="100" t="str">
        <x:v>relationship_type</x:v>
      </x:c>
      <x:c r="B21" s="100" t="str">
        <x:v>关系类型</x:v>
      </x:c>
      <x:c r="C21" s="100" t="str">
        <x:v>has_legal_father</x:v>
      </x:c>
      <x:c r="D21" s="100" t="str">
        <x:v>法定父为</x:v>
      </x:c>
      <x:c r="E21" s="100" t="str">
        <x:v>Has legal father</x:v>
      </x:c>
      <x:c r="F21" s="100" t="str">
        <x:v>礼法或法律身份上的父亲是客体</x:v>
      </x:c>
      <x:c r="G21" s="100" t="str">
        <x:v>kinship</x:v>
      </x:c>
      <x:c r="H21" s="100" t="str">
        <x:v>legal_father_of</x:v>
      </x:c>
      <x:c r="I21" s="100" t="str">
        <x:v>true</x:v>
      </x:c>
      <x:c r="J21" s="100" t="str">
        <x:v>50</x:v>
      </x:c>
    </x:row>
    <x:row r="22" ht="32" customHeight="1">
      <x:c r="A22" s="100" t="str">
        <x:v>relationship_type</x:v>
      </x:c>
      <x:c r="B22" s="100" t="str">
        <x:v>关系类型</x:v>
      </x:c>
      <x:c r="C22" s="100" t="str">
        <x:v>legal_father_of</x:v>
      </x:c>
      <x:c r="D22" s="100" t="str">
        <x:v>为法定父</x:v>
      </x:c>
      <x:c r="E22" s="100" t="str">
        <x:v>Legal father of</x:v>
      </x:c>
      <x:c r="F22" s="100" t="str">
        <x:v>主体是客体礼法或法律身份上的父亲</x:v>
      </x:c>
      <x:c r="G22" s="100" t="str">
        <x:v>kinship</x:v>
      </x:c>
      <x:c r="H22" s="100" t="str">
        <x:v>has_legal_father</x:v>
      </x:c>
      <x:c r="I22" s="100" t="str">
        <x:v>true</x:v>
      </x:c>
      <x:c r="J22" s="100" t="str">
        <x:v>60</x:v>
      </x:c>
    </x:row>
    <x:row r="23" ht="32" customHeight="1">
      <x:c r="A23" s="100" t="str">
        <x:v>relationship_type</x:v>
      </x:c>
      <x:c r="B23" s="100" t="str">
        <x:v>关系类型</x:v>
      </x:c>
      <x:c r="C23" s="100" t="str">
        <x:v>has_legal_mother</x:v>
      </x:c>
      <x:c r="D23" s="100" t="str">
        <x:v>嫡母或法定母为</x:v>
      </x:c>
      <x:c r="E23" s="100" t="str">
        <x:v>Has legal mother</x:v>
      </x:c>
      <x:c r="F23" s="100" t="str">
        <x:v>礼法或法律身份上的母亲是客体</x:v>
      </x:c>
      <x:c r="G23" s="100" t="str">
        <x:v>kinship</x:v>
      </x:c>
      <x:c r="H23" s="100" t="str">
        <x:v>legal_mother_of</x:v>
      </x:c>
      <x:c r="I23" s="100" t="str">
        <x:v>true</x:v>
      </x:c>
      <x:c r="J23" s="100" t="str">
        <x:v>70</x:v>
      </x:c>
    </x:row>
    <x:row r="24" ht="32" customHeight="1">
      <x:c r="A24" s="100" t="str">
        <x:v>relationship_type</x:v>
      </x:c>
      <x:c r="B24" s="100" t="str">
        <x:v>关系类型</x:v>
      </x:c>
      <x:c r="C24" s="100" t="str">
        <x:v>legal_mother_of</x:v>
      </x:c>
      <x:c r="D24" s="100" t="str">
        <x:v>为嫡母或法定母</x:v>
      </x:c>
      <x:c r="E24" s="100" t="str">
        <x:v>Legal mother of</x:v>
      </x:c>
      <x:c r="F24" s="100" t="str">
        <x:v>主体是客体礼法或法律身份上的母亲</x:v>
      </x:c>
      <x:c r="G24" s="100" t="str">
        <x:v>kinship</x:v>
      </x:c>
      <x:c r="H24" s="100" t="str">
        <x:v>has_legal_mother</x:v>
      </x:c>
      <x:c r="I24" s="100" t="str">
        <x:v>true</x:v>
      </x:c>
      <x:c r="J24" s="100" t="str">
        <x:v>80</x:v>
      </x:c>
    </x:row>
    <x:row r="25" ht="32" customHeight="1">
      <x:c r="A25" s="100" t="str">
        <x:v>relationship_type</x:v>
      </x:c>
      <x:c r="B25" s="100" t="str">
        <x:v>关系类型</x:v>
      </x:c>
      <x:c r="C25" s="100" t="str">
        <x:v>has_ritual_mother</x:v>
      </x:c>
      <x:c r="D25" s="100" t="str">
        <x:v>礼仪母为</x:v>
      </x:c>
      <x:c r="E25" s="100" t="str">
        <x:v>Has ritual mother</x:v>
      </x:c>
      <x:c r="F25" s="100" t="str">
        <x:v>在特定礼仪或制度语境中被视作母亲</x:v>
      </x:c>
      <x:c r="G25" s="100" t="str">
        <x:v>kinship</x:v>
      </x:c>
      <x:c r="H25" s="100" t="str">
        <x:v>ritual_mother_of</x:v>
      </x:c>
      <x:c r="I25" s="100" t="str">
        <x:v>true</x:v>
      </x:c>
      <x:c r="J25" s="100" t="str">
        <x:v>90</x:v>
      </x:c>
    </x:row>
    <x:row r="26" ht="32" customHeight="1">
      <x:c r="A26" s="100" t="str">
        <x:v>relationship_type</x:v>
      </x:c>
      <x:c r="B26" s="100" t="str">
        <x:v>关系类型</x:v>
      </x:c>
      <x:c r="C26" s="100" t="str">
        <x:v>ritual_mother_of</x:v>
      </x:c>
      <x:c r="D26" s="100" t="str">
        <x:v>为礼仪母</x:v>
      </x:c>
      <x:c r="E26" s="100" t="str">
        <x:v>Ritual mother of</x:v>
      </x:c>
      <x:c r="F26" s="100" t="str">
        <x:v>主体在特定礼仪或制度语境中为客体之母</x:v>
      </x:c>
      <x:c r="G26" s="100" t="str">
        <x:v>kinship</x:v>
      </x:c>
      <x:c r="H26" s="100" t="str">
        <x:v>has_ritual_mother</x:v>
      </x:c>
      <x:c r="I26" s="100" t="str">
        <x:v>true</x:v>
      </x:c>
      <x:c r="J26" s="100" t="str">
        <x:v>100</x:v>
      </x:c>
    </x:row>
    <x:row r="27" ht="32" customHeight="1">
      <x:c r="A27" s="100" t="str">
        <x:v>relationship_type</x:v>
      </x:c>
      <x:c r="B27" s="100" t="str">
        <x:v>关系类型</x:v>
      </x:c>
      <x:c r="C27" s="100" t="str">
        <x:v>has_adoptive_parent</x:v>
      </x:c>
      <x:c r="D27" s="100" t="str">
        <x:v>养父母为</x:v>
      </x:c>
      <x:c r="E27" s="100" t="str">
        <x:v>Has adoptive parent</x:v>
      </x:c>
      <x:c r="F27" s="100" t="str">
        <x:v>通过正式收养或过继形成的父母关系</x:v>
      </x:c>
      <x:c r="G27" s="100" t="str">
        <x:v>kinship</x:v>
      </x:c>
      <x:c r="H27" s="100" t="str">
        <x:v>adoptive_parent_of</x:v>
      </x:c>
      <x:c r="I27" s="100" t="str">
        <x:v>true</x:v>
      </x:c>
      <x:c r="J27" s="100" t="str">
        <x:v>110</x:v>
      </x:c>
    </x:row>
    <x:row r="28" ht="32" customHeight="1">
      <x:c r="A28" s="100" t="str">
        <x:v>relationship_type</x:v>
      </x:c>
      <x:c r="B28" s="100" t="str">
        <x:v>关系类型</x:v>
      </x:c>
      <x:c r="C28" s="100" t="str">
        <x:v>adoptive_parent_of</x:v>
      </x:c>
      <x:c r="D28" s="100" t="str">
        <x:v>为养父母</x:v>
      </x:c>
      <x:c r="E28" s="100" t="str">
        <x:v>Adoptive parent of</x:v>
      </x:c>
      <x:c r="F28" s="100" t="str">
        <x:v>主体通过正式收养或过继成为客体父母</x:v>
      </x:c>
      <x:c r="G28" s="100" t="str">
        <x:v>kinship</x:v>
      </x:c>
      <x:c r="H28" s="100" t="str">
        <x:v>has_adoptive_parent</x:v>
      </x:c>
      <x:c r="I28" s="100" t="str">
        <x:v>true</x:v>
      </x:c>
      <x:c r="J28" s="100" t="str">
        <x:v>120</x:v>
      </x:c>
    </x:row>
    <x:row r="29" ht="32" customHeight="1">
      <x:c r="A29" s="100" t="str">
        <x:v>relationship_type</x:v>
      </x:c>
      <x:c r="B29" s="100" t="str">
        <x:v>关系类型</x:v>
      </x:c>
      <x:c r="C29" s="100" t="str">
        <x:v>has_foster_parent</x:v>
      </x:c>
      <x:c r="D29" s="100" t="str">
        <x:v>抚育者为</x:v>
      </x:c>
      <x:c r="E29" s="100" t="str">
        <x:v>Has foster parent</x:v>
      </x:c>
      <x:c r="F29" s="100" t="str">
        <x:v>以抚育事实形成但不等于正式收养的关系</x:v>
      </x:c>
      <x:c r="G29" s="100" t="str">
        <x:v>kinship</x:v>
      </x:c>
      <x:c r="H29" s="100" t="str">
        <x:v>foster_parent_of</x:v>
      </x:c>
      <x:c r="I29" s="100" t="str">
        <x:v>true</x:v>
      </x:c>
      <x:c r="J29" s="100" t="str">
        <x:v>130</x:v>
      </x:c>
    </x:row>
    <x:row r="30" ht="32" customHeight="1">
      <x:c r="A30" s="100" t="str">
        <x:v>relationship_type</x:v>
      </x:c>
      <x:c r="B30" s="100" t="str">
        <x:v>关系类型</x:v>
      </x:c>
      <x:c r="C30" s="100" t="str">
        <x:v>foster_parent_of</x:v>
      </x:c>
      <x:c r="D30" s="100" t="str">
        <x:v>为抚育者</x:v>
      </x:c>
      <x:c r="E30" s="100" t="str">
        <x:v>Foster parent of</x:v>
      </x:c>
      <x:c r="F30" s="100" t="str">
        <x:v>主体承担客体抚育职责但不必然具有法定亲子关系</x:v>
      </x:c>
      <x:c r="G30" s="100" t="str">
        <x:v>kinship</x:v>
      </x:c>
      <x:c r="H30" s="100" t="str">
        <x:v>has_foster_parent</x:v>
      </x:c>
      <x:c r="I30" s="100" t="str">
        <x:v>true</x:v>
      </x:c>
      <x:c r="J30" s="100" t="str">
        <x:v>140</x:v>
      </x:c>
    </x:row>
    <x:row r="31" ht="32" customHeight="1">
      <x:c r="A31" s="100" t="str">
        <x:v>relationship_type</x:v>
      </x:c>
      <x:c r="B31" s="100" t="str">
        <x:v>关系类型</x:v>
      </x:c>
      <x:c r="C31" s="100" t="str">
        <x:v>spouse_of</x:v>
      </x:c>
      <x:c r="D31" s="100" t="str">
        <x:v>配偶为</x:v>
      </x:c>
      <x:c r="E31" s="100" t="str">
        <x:v>Spouse of</x:v>
      </x:c>
      <x:c r="F31" s="100" t="str">
        <x:v>婚姻关系；对称关系</x:v>
      </x:c>
      <x:c r="G31" s="100" t="str">
        <x:v>kinship</x:v>
      </x:c>
      <x:c r="H31" s="100" t="str">
        <x:v>spouse_of</x:v>
      </x:c>
      <x:c r="I31" s="100" t="str">
        <x:v>true</x:v>
      </x:c>
      <x:c r="J31" s="100" t="str">
        <x:v>150</x:v>
      </x:c>
    </x:row>
    <x:row r="32" ht="32" customHeight="1">
      <x:c r="A32" s="100" t="str">
        <x:v>relationship_type</x:v>
      </x:c>
      <x:c r="B32" s="100" t="str">
        <x:v>关系类型</x:v>
      </x:c>
      <x:c r="C32" s="100" t="str">
        <x:v>betrothed_to</x:v>
      </x:c>
      <x:c r="D32" s="100" t="str">
        <x:v>订婚对象为</x:v>
      </x:c>
      <x:c r="E32" s="100" t="str">
        <x:v>Betrothed to</x:v>
      </x:c>
      <x:c r="F32" s="100" t="str">
        <x:v>存在订婚但未必最终成婚；对称关系</x:v>
      </x:c>
      <x:c r="G32" s="100" t="str">
        <x:v>kinship</x:v>
      </x:c>
      <x:c r="H32" s="100" t="str">
        <x:v>betrothed_to</x:v>
      </x:c>
      <x:c r="I32" s="100" t="str">
        <x:v>true</x:v>
      </x:c>
      <x:c r="J32" s="100" t="str">
        <x:v>160</x:v>
      </x:c>
    </x:row>
    <x:row r="33" ht="32" customHeight="1">
      <x:c r="A33" s="100" t="str">
        <x:v>relationship_type</x:v>
      </x:c>
      <x:c r="B33" s="100" t="str">
        <x:v>关系类型</x:v>
      </x:c>
      <x:c r="C33" s="100" t="str">
        <x:v>full_sibling_of</x:v>
      </x:c>
      <x:c r="D33" s="100" t="str">
        <x:v>同父同母手足为</x:v>
      </x:c>
      <x:c r="E33" s="100" t="str">
        <x:v>Full sibling of</x:v>
      </x:c>
      <x:c r="F33" s="100" t="str">
        <x:v>同父且同母的手足关系</x:v>
      </x:c>
      <x:c r="G33" s="100" t="str">
        <x:v>kinship</x:v>
      </x:c>
      <x:c r="H33" s="100" t="str">
        <x:v>full_sibling_of</x:v>
      </x:c>
      <x:c r="I33" s="100" t="str">
        <x:v>true</x:v>
      </x:c>
      <x:c r="J33" s="100" t="str">
        <x:v>170</x:v>
      </x:c>
    </x:row>
    <x:row r="34" ht="32" customHeight="1">
      <x:c r="A34" s="100" t="str">
        <x:v>relationship_type</x:v>
      </x:c>
      <x:c r="B34" s="100" t="str">
        <x:v>关系类型</x:v>
      </x:c>
      <x:c r="C34" s="100" t="str">
        <x:v>paternal_half_sibling_of</x:v>
      </x:c>
      <x:c r="D34" s="100" t="str">
        <x:v>同父异母手足为</x:v>
      </x:c>
      <x:c r="E34" s="100" t="str">
        <x:v>Paternal half-sibling of</x:v>
      </x:c>
      <x:c r="F34" s="100" t="str">
        <x:v>同父不同母的手足关系</x:v>
      </x:c>
      <x:c r="G34" s="100" t="str">
        <x:v>kinship</x:v>
      </x:c>
      <x:c r="H34" s="100" t="str">
        <x:v>paternal_half_sibling_of</x:v>
      </x:c>
      <x:c r="I34" s="100" t="str">
        <x:v>true</x:v>
      </x:c>
      <x:c r="J34" s="100" t="str">
        <x:v>180</x:v>
      </x:c>
    </x:row>
    <x:row r="35" ht="32" customHeight="1">
      <x:c r="A35" s="100" t="str">
        <x:v>relationship_type</x:v>
      </x:c>
      <x:c r="B35" s="100" t="str">
        <x:v>关系类型</x:v>
      </x:c>
      <x:c r="C35" s="100" t="str">
        <x:v>maternal_half_sibling_of</x:v>
      </x:c>
      <x:c r="D35" s="100" t="str">
        <x:v>同母异父手足为</x:v>
      </x:c>
      <x:c r="E35" s="100" t="str">
        <x:v>Maternal half-sibling of</x:v>
      </x:c>
      <x:c r="F35" s="100" t="str">
        <x:v>同母不同父的手足关系</x:v>
      </x:c>
      <x:c r="G35" s="100" t="str">
        <x:v>kinship</x:v>
      </x:c>
      <x:c r="H35" s="100" t="str">
        <x:v>maternal_half_sibling_of</x:v>
      </x:c>
      <x:c r="I35" s="100" t="str">
        <x:v>true</x:v>
      </x:c>
      <x:c r="J35" s="100" t="str">
        <x:v>190</x:v>
      </x:c>
    </x:row>
    <x:row r="36" ht="32" customHeight="1">
      <x:c r="A36" s="100" t="str">
        <x:v>relationship_type</x:v>
      </x:c>
      <x:c r="B36" s="100" t="str">
        <x:v>关系类型</x:v>
      </x:c>
      <x:c r="C36" s="100" t="str">
        <x:v>member_of_lineage</x:v>
      </x:c>
      <x:c r="D36" s="100" t="str">
        <x:v>属于宗支或家族</x:v>
      </x:c>
      <x:c r="E36" s="100" t="str">
        <x:v>Member of lineage</x:v>
      </x:c>
      <x:c r="F36" s="100" t="str">
        <x:v>主体隶属于特定宗支家族或谱系</x:v>
      </x:c>
      <x:c r="G36" s="100" t="str">
        <x:v>affiliation</x:v>
      </x:c>
      <x:c r="H36" s="100" t="str">
        <x:v>lineage_has_member</x:v>
      </x:c>
      <x:c r="I36" s="100" t="str">
        <x:v>true</x:v>
      </x:c>
      <x:c r="J36" s="100" t="str">
        <x:v>200</x:v>
      </x:c>
    </x:row>
    <x:row r="37" ht="32" customHeight="1">
      <x:c r="A37" s="100" t="str">
        <x:v>relationship_type</x:v>
      </x:c>
      <x:c r="B37" s="100" t="str">
        <x:v>关系类型</x:v>
      </x:c>
      <x:c r="C37" s="100" t="str">
        <x:v>lineage_has_member</x:v>
      </x:c>
      <x:c r="D37" s="100" t="str">
        <x:v>宗支或家族成员为</x:v>
      </x:c>
      <x:c r="E37" s="100" t="str">
        <x:v>Lineage has member</x:v>
      </x:c>
      <x:c r="F37" s="100" t="str">
        <x:v>特定宗支家族包含主体</x:v>
      </x:c>
      <x:c r="G37" s="100" t="str">
        <x:v>affiliation</x:v>
      </x:c>
      <x:c r="H37" s="100" t="str">
        <x:v>member_of_lineage</x:v>
      </x:c>
      <x:c r="I37" s="100" t="str">
        <x:v>true</x:v>
      </x:c>
      <x:c r="J37" s="100" t="str">
        <x:v>210</x:v>
      </x:c>
    </x:row>
    <x:row r="38" ht="32" customHeight="1">
      <x:c r="A38" s="100" t="str">
        <x:v>relationship_type</x:v>
      </x:c>
      <x:c r="B38" s="100" t="str">
        <x:v>关系类型</x:v>
      </x:c>
      <x:c r="C38" s="100" t="str">
        <x:v>teacher_of</x:v>
      </x:c>
      <x:c r="D38" s="100" t="str">
        <x:v>为师</x:v>
      </x:c>
      <x:c r="E38" s="100" t="str">
        <x:v>Teacher of</x:v>
      </x:c>
      <x:c r="F38" s="100" t="str">
        <x:v>主体是客体明确记载的教师</x:v>
      </x:c>
      <x:c r="G38" s="100" t="str">
        <x:v>social</x:v>
      </x:c>
      <x:c r="H38" s="100" t="str">
        <x:v>student_of</x:v>
      </x:c>
      <x:c r="I38" s="100" t="str">
        <x:v>true</x:v>
      </x:c>
      <x:c r="J38" s="100" t="str">
        <x:v>220</x:v>
      </x:c>
    </x:row>
    <x:row r="39" ht="32" customHeight="1">
      <x:c r="A39" s="100" t="str">
        <x:v>relationship_type</x:v>
      </x:c>
      <x:c r="B39" s="100" t="str">
        <x:v>关系类型</x:v>
      </x:c>
      <x:c r="C39" s="100" t="str">
        <x:v>student_of</x:v>
      </x:c>
      <x:c r="D39" s="100" t="str">
        <x:v>从师于</x:v>
      </x:c>
      <x:c r="E39" s="100" t="str">
        <x:v>Student of</x:v>
      </x:c>
      <x:c r="F39" s="100" t="str">
        <x:v>主体受教于客体</x:v>
      </x:c>
      <x:c r="G39" s="100" t="str">
        <x:v>social</x:v>
      </x:c>
      <x:c r="H39" s="100" t="str">
        <x:v>teacher_of</x:v>
      </x:c>
      <x:c r="I39" s="100" t="str">
        <x:v>true</x:v>
      </x:c>
      <x:c r="J39" s="100" t="str">
        <x:v>230</x:v>
      </x:c>
    </x:row>
    <x:row r="40" ht="32" customHeight="1">
      <x:c r="A40" s="100" t="str">
        <x:v>relationship_type</x:v>
      </x:c>
      <x:c r="B40" s="100" t="str">
        <x:v>关系类型</x:v>
      </x:c>
      <x:c r="C40" s="100" t="str">
        <x:v>political_ally_of</x:v>
      </x:c>
      <x:c r="D40" s="100" t="str">
        <x:v>政治盟友为</x:v>
      </x:c>
      <x:c r="E40" s="100" t="str">
        <x:v>Political ally of</x:v>
      </x:c>
      <x:c r="F40" s="100" t="str">
        <x:v>在明确时间与议题下形成政治合作；对称关系</x:v>
      </x:c>
      <x:c r="G40" s="100" t="str">
        <x:v>political</x:v>
      </x:c>
      <x:c r="H40" s="100" t="str">
        <x:v>political_ally_of</x:v>
      </x:c>
      <x:c r="I40" s="100" t="str">
        <x:v>true</x:v>
      </x:c>
      <x:c r="J40" s="100" t="str">
        <x:v>240</x:v>
      </x:c>
    </x:row>
    <x:row r="41" ht="32" customHeight="1">
      <x:c r="A41" s="100" t="str">
        <x:v>relationship_type</x:v>
      </x:c>
      <x:c r="B41" s="100" t="str">
        <x:v>关系类型</x:v>
      </x:c>
      <x:c r="C41" s="100" t="str">
        <x:v>political_opponent_of</x:v>
      </x:c>
      <x:c r="D41" s="100" t="str">
        <x:v>政治对手为</x:v>
      </x:c>
      <x:c r="E41" s="100" t="str">
        <x:v>Political opponent of</x:v>
      </x:c>
      <x:c r="F41" s="100" t="str">
        <x:v>在明确时间与议题下形成政治对立；对称关系</x:v>
      </x:c>
      <x:c r="G41" s="100" t="str">
        <x:v>political</x:v>
      </x:c>
      <x:c r="H41" s="100" t="str">
        <x:v>political_opponent_of</x:v>
      </x:c>
      <x:c r="I41" s="100" t="str">
        <x:v>true</x:v>
      </x:c>
      <x:c r="J41" s="100" t="str">
        <x:v>250</x:v>
      </x:c>
    </x:row>
    <x:row r="42" ht="32" customHeight="1">
      <x:c r="A42" s="100" t="str">
        <x:v>assertion_status</x:v>
      </x:c>
      <x:c r="B42" s="100" t="str">
        <x:v>主张状态</x:v>
      </x:c>
      <x:c r="C42" s="100" t="str">
        <x:v>draft</x:v>
      </x:c>
      <x:c r="D42" s="100" t="str">
        <x:v>草稿</x:v>
      </x:c>
      <x:c r="E42" s="100" t="str">
        <x:v>Draft</x:v>
      </x:c>
      <x:c r="F42" s="100" t="str">
        <x:v>尚未进入正式复核的候选主张</x:v>
      </x:c>
      <x:c r="G42" s="100" t="str"/>
      <x:c r="H42" s="100" t="str"/>
      <x:c r="I42" s="100" t="str">
        <x:v>true</x:v>
      </x:c>
      <x:c r="J42" s="100" t="str">
        <x:v>10</x:v>
      </x:c>
    </x:row>
    <x:row r="43" ht="32" customHeight="1">
      <x:c r="A43" s="100" t="str">
        <x:v>assertion_status</x:v>
      </x:c>
      <x:c r="B43" s="100" t="str">
        <x:v>主张状态</x:v>
      </x:c>
      <x:c r="C43" s="100" t="str">
        <x:v>in_review</x:v>
      </x:c>
      <x:c r="D43" s="100" t="str">
        <x:v>审核中</x:v>
      </x:c>
      <x:c r="E43" s="100" t="str">
        <x:v>In review</x:v>
      </x:c>
      <x:c r="F43" s="100" t="str">
        <x:v>已提交并正在进行来源与学术复核</x:v>
      </x:c>
      <x:c r="G43" s="100" t="str"/>
      <x:c r="H43" s="100" t="str"/>
      <x:c r="I43" s="100" t="str">
        <x:v>true</x:v>
      </x:c>
      <x:c r="J43" s="100" t="str">
        <x:v>20</x:v>
      </x:c>
    </x:row>
    <x:row r="44" ht="32" customHeight="1">
      <x:c r="A44" s="100" t="str">
        <x:v>assertion_status</x:v>
      </x:c>
      <x:c r="B44" s="100" t="str">
        <x:v>主张状态</x:v>
      </x:c>
      <x:c r="C44" s="100" t="str">
        <x:v>accepted</x:v>
      </x:c>
      <x:c r="D44" s="100" t="str">
        <x:v>已采纳</x:v>
      </x:c>
      <x:c r="E44" s="100" t="str">
        <x:v>Accepted</x:v>
      </x:c>
      <x:c r="F44" s="100" t="str">
        <x:v>通过规定审核且可进入正式展示</x:v>
      </x:c>
      <x:c r="G44" s="100" t="str"/>
      <x:c r="H44" s="100" t="str"/>
      <x:c r="I44" s="100" t="str">
        <x:v>true</x:v>
      </x:c>
      <x:c r="J44" s="100" t="str">
        <x:v>30</x:v>
      </x:c>
    </x:row>
    <x:row r="45" ht="32" customHeight="1">
      <x:c r="A45" s="100" t="str">
        <x:v>assertion_status</x:v>
      </x:c>
      <x:c r="B45" s="100" t="str">
        <x:v>主张状态</x:v>
      </x:c>
      <x:c r="C45" s="100" t="str">
        <x:v>disputed</x:v>
      </x:c>
      <x:c r="D45" s="100" t="str">
        <x:v>有争议</x:v>
      </x:c>
      <x:c r="E45" s="100" t="str">
        <x:v>Disputed</x:v>
      </x:c>
      <x:c r="F45" s="100" t="str">
        <x:v>存在未解决的相互冲突证据或解释</x:v>
      </x:c>
      <x:c r="G45" s="100" t="str"/>
      <x:c r="H45" s="100" t="str"/>
      <x:c r="I45" s="100" t="str">
        <x:v>true</x:v>
      </x:c>
      <x:c r="J45" s="100" t="str">
        <x:v>40</x:v>
      </x:c>
    </x:row>
    <x:row r="46" ht="32" customHeight="1">
      <x:c r="A46" s="100" t="str">
        <x:v>assertion_status</x:v>
      </x:c>
      <x:c r="B46" s="100" t="str">
        <x:v>主张状态</x:v>
      </x:c>
      <x:c r="C46" s="100" t="str">
        <x:v>rejected</x:v>
      </x:c>
      <x:c r="D46" s="100" t="str">
        <x:v>已驳回</x:v>
      </x:c>
      <x:c r="E46" s="100" t="str">
        <x:v>Rejected</x:v>
      </x:c>
      <x:c r="F46" s="100" t="str">
        <x:v>经审核不成立或证据不足</x:v>
      </x:c>
      <x:c r="G46" s="100" t="str"/>
      <x:c r="H46" s="100" t="str"/>
      <x:c r="I46" s="100" t="str">
        <x:v>true</x:v>
      </x:c>
      <x:c r="J46" s="100" t="str">
        <x:v>50</x:v>
      </x:c>
    </x:row>
    <x:row r="47" ht="32" customHeight="1">
      <x:c r="A47" s="100" t="str">
        <x:v>assertion_status</x:v>
      </x:c>
      <x:c r="B47" s="100" t="str">
        <x:v>主张状态</x:v>
      </x:c>
      <x:c r="C47" s="100" t="str">
        <x:v>deprecated</x:v>
      </x:c>
      <x:c r="D47" s="100" t="str">
        <x:v>已废弃</x:v>
      </x:c>
      <x:c r="E47" s="100" t="str">
        <x:v>Deprecated</x:v>
      </x:c>
      <x:c r="F47" s="100" t="str">
        <x:v>曾使用但被新版本取代或撤回</x:v>
      </x:c>
      <x:c r="G47" s="100" t="str"/>
      <x:c r="H47" s="100" t="str"/>
      <x:c r="I47" s="100" t="str">
        <x:v>true</x:v>
      </x:c>
      <x:c r="J47" s="100" t="str">
        <x:v>60</x:v>
      </x:c>
    </x:row>
    <x:row r="48" ht="32" customHeight="1">
      <x:c r="A48" s="100" t="str">
        <x:v>evidence_stance</x:v>
      </x:c>
      <x:c r="B48" s="100" t="str">
        <x:v>证据立场</x:v>
      </x:c>
      <x:c r="C48" s="100" t="str">
        <x:v>supports</x:v>
      </x:c>
      <x:c r="D48" s="100" t="str">
        <x:v>支持</x:v>
      </x:c>
      <x:c r="E48" s="100" t="str">
        <x:v>Supports</x:v>
      </x:c>
      <x:c r="F48" s="100" t="str">
        <x:v>该证据直接或间接支持主张</x:v>
      </x:c>
      <x:c r="G48" s="100" t="str"/>
      <x:c r="H48" s="100" t="str"/>
      <x:c r="I48" s="100" t="str">
        <x:v>true</x:v>
      </x:c>
      <x:c r="J48" s="100" t="str">
        <x:v>10</x:v>
      </x:c>
    </x:row>
    <x:row r="49" ht="32" customHeight="1">
      <x:c r="A49" s="100" t="str">
        <x:v>evidence_stance</x:v>
      </x:c>
      <x:c r="B49" s="100" t="str">
        <x:v>证据立场</x:v>
      </x:c>
      <x:c r="C49" s="100" t="str">
        <x:v>contradicts</x:v>
      </x:c>
      <x:c r="D49" s="100" t="str">
        <x:v>反驳</x:v>
      </x:c>
      <x:c r="E49" s="100" t="str">
        <x:v>Contradicts</x:v>
      </x:c>
      <x:c r="F49" s="100" t="str">
        <x:v>该证据与主张相冲突</x:v>
      </x:c>
      <x:c r="G49" s="100" t="str"/>
      <x:c r="H49" s="100" t="str"/>
      <x:c r="I49" s="100" t="str">
        <x:v>true</x:v>
      </x:c>
      <x:c r="J49" s="100" t="str">
        <x:v>20</x:v>
      </x:c>
    </x:row>
    <x:row r="50" ht="32" customHeight="1">
      <x:c r="A50" s="100" t="str">
        <x:v>evidence_stance</x:v>
      </x:c>
      <x:c r="B50" s="100" t="str">
        <x:v>证据立场</x:v>
      </x:c>
      <x:c r="C50" s="100" t="str">
        <x:v>contextualizes</x:v>
      </x:c>
      <x:c r="D50" s="100" t="str">
        <x:v>提供语境</x:v>
      </x:c>
      <x:c r="E50" s="100" t="str">
        <x:v>Contextualizes</x:v>
      </x:c>
      <x:c r="F50" s="100" t="str">
        <x:v>该证据帮助解释但不直接证明主张</x:v>
      </x:c>
      <x:c r="G50" s="100" t="str"/>
      <x:c r="H50" s="100" t="str"/>
      <x:c r="I50" s="100" t="str">
        <x:v>true</x:v>
      </x:c>
      <x:c r="J50" s="100" t="str">
        <x:v>30</x:v>
      </x:c>
    </x:row>
    <x:row r="51" ht="32" customHeight="1">
      <x:c r="A51" s="100" t="str">
        <x:v>evidence_stance</x:v>
      </x:c>
      <x:c r="B51" s="100" t="str">
        <x:v>证据立场</x:v>
      </x:c>
      <x:c r="C51" s="100" t="str">
        <x:v>mentions_only</x:v>
      </x:c>
      <x:c r="D51" s="100" t="str">
        <x:v>仅提及</x:v>
      </x:c>
      <x:c r="E51" s="100" t="str">
        <x:v>Mentions only</x:v>
      </x:c>
      <x:c r="F51" s="100" t="str">
        <x:v>材料只提到相关对象而不支持主张</x:v>
      </x:c>
      <x:c r="G51" s="100" t="str"/>
      <x:c r="H51" s="100" t="str"/>
      <x:c r="I51" s="100" t="str">
        <x:v>true</x:v>
      </x:c>
      <x:c r="J51" s="100" t="str">
        <x:v>40</x:v>
      </x:c>
    </x:row>
    <x:row r="52" ht="32" customHeight="1">
      <x:c r="A52" s="100" t="str">
        <x:v>evidence_directness</x:v>
      </x:c>
      <x:c r="B52" s="100" t="str">
        <x:v>证据直接性</x:v>
      </x:c>
      <x:c r="C52" s="100" t="str">
        <x:v>explicit</x:v>
      </x:c>
      <x:c r="D52" s="100" t="str">
        <x:v>明确记载</x:v>
      </x:c>
      <x:c r="E52" s="100" t="str">
        <x:v>Explicit</x:v>
      </x:c>
      <x:c r="F52" s="100" t="str">
        <x:v>来源直接陈述该事实</x:v>
      </x:c>
      <x:c r="G52" s="100" t="str"/>
      <x:c r="H52" s="100" t="str"/>
      <x:c r="I52" s="100" t="str">
        <x:v>true</x:v>
      </x:c>
      <x:c r="J52" s="100" t="str">
        <x:v>10</x:v>
      </x:c>
    </x:row>
    <x:row r="53" ht="32" customHeight="1">
      <x:c r="A53" s="100" t="str">
        <x:v>evidence_directness</x:v>
      </x:c>
      <x:c r="B53" s="100" t="str">
        <x:v>证据直接性</x:v>
      </x:c>
      <x:c r="C53" s="100" t="str">
        <x:v>inferred</x:v>
      </x:c>
      <x:c r="D53" s="100" t="str">
        <x:v>推定</x:v>
      </x:c>
      <x:c r="E53" s="100" t="str">
        <x:v>Inferred</x:v>
      </x:c>
      <x:c r="F53" s="100" t="str">
        <x:v>由来源内容推论而非直接陈述</x:v>
      </x:c>
      <x:c r="G53" s="100" t="str"/>
      <x:c r="H53" s="100" t="str"/>
      <x:c r="I53" s="100" t="str">
        <x:v>true</x:v>
      </x:c>
      <x:c r="J53" s="100" t="str">
        <x:v>20</x:v>
      </x:c>
    </x:row>
    <x:row r="54" ht="32" customHeight="1">
      <x:c r="A54" s="100" t="str">
        <x:v>evidence_directness</x:v>
      </x:c>
      <x:c r="B54" s="100" t="str">
        <x:v>证据直接性</x:v>
      </x:c>
      <x:c r="C54" s="100" t="str">
        <x:v>contextual</x:v>
      </x:c>
      <x:c r="D54" s="100" t="str">
        <x:v>语境性</x:v>
      </x:c>
      <x:c r="E54" s="100" t="str">
        <x:v>Contextual</x:v>
      </x:c>
      <x:c r="F54" s="100" t="str">
        <x:v>仅提供背景语境</x:v>
      </x:c>
      <x:c r="G54" s="100" t="str"/>
      <x:c r="H54" s="100" t="str"/>
      <x:c r="I54" s="100" t="str">
        <x:v>true</x:v>
      </x:c>
      <x:c r="J54" s="100" t="str">
        <x:v>30</x:v>
      </x:c>
    </x:row>
    <x:row r="55" ht="32" customHeight="1">
      <x:c r="A55" s="100" t="str">
        <x:v>evidence_directness</x:v>
      </x:c>
      <x:c r="B55" s="100" t="str">
        <x:v>证据直接性</x:v>
      </x:c>
      <x:c r="C55" s="100" t="str">
        <x:v>argument_from_silence</x:v>
      </x:c>
      <x:c r="D55" s="100" t="str">
        <x:v>以沉默为据</x:v>
      </x:c>
      <x:c r="E55" s="100" t="str">
        <x:v>Argument from silence</x:v>
      </x:c>
      <x:c r="F55" s="100" t="str">
        <x:v>以材料未记载某事作为论证的一部分</x:v>
      </x:c>
      <x:c r="G55" s="100" t="str"/>
      <x:c r="H55" s="100" t="str"/>
      <x:c r="I55" s="100" t="str">
        <x:v>true</x:v>
      </x:c>
      <x:c r="J55" s="100" t="str">
        <x:v>40</x:v>
      </x:c>
    </x:row>
    <x:row r="56" ht="32" customHeight="1">
      <x:c r="A56" s="100" t="str">
        <x:v>evidence_strength</x:v>
      </x:c>
      <x:c r="B56" s="100" t="str">
        <x:v>证据强度</x:v>
      </x:c>
      <x:c r="C56" s="100" t="str">
        <x:v>primary</x:v>
      </x:c>
      <x:c r="D56" s="100" t="str">
        <x:v>一手直接</x:v>
      </x:c>
      <x:c r="E56" s="100" t="str">
        <x:v>Primary</x:v>
      </x:c>
      <x:c r="F56" s="100" t="str">
        <x:v>与事件或制度形成过程直接相关的一手材料</x:v>
      </x:c>
      <x:c r="G56" s="100" t="str"/>
      <x:c r="H56" s="100" t="str"/>
      <x:c r="I56" s="100" t="str">
        <x:v>true</x:v>
      </x:c>
      <x:c r="J56" s="100" t="str">
        <x:v>10</x:v>
      </x:c>
    </x:row>
    <x:row r="57" ht="32" customHeight="1">
      <x:c r="A57" s="100" t="str">
        <x:v>evidence_strength</x:v>
      </x:c>
      <x:c r="B57" s="100" t="str">
        <x:v>证据强度</x:v>
      </x:c>
      <x:c r="C57" s="100" t="str">
        <x:v>strong</x:v>
      </x:c>
      <x:c r="D57" s="100" t="str">
        <x:v>强</x:v>
      </x:c>
      <x:c r="E57" s="100" t="str">
        <x:v>Strong</x:v>
      </x:c>
      <x:c r="F57" s="100" t="str">
        <x:v>与命题高度相关且来源链条清楚</x:v>
      </x:c>
      <x:c r="G57" s="100" t="str"/>
      <x:c r="H57" s="100" t="str"/>
      <x:c r="I57" s="100" t="str">
        <x:v>true</x:v>
      </x:c>
      <x:c r="J57" s="100" t="str">
        <x:v>20</x:v>
      </x:c>
    </x:row>
    <x:row r="58" ht="32" customHeight="1">
      <x:c r="A58" s="100" t="str">
        <x:v>evidence_strength</x:v>
      </x:c>
      <x:c r="B58" s="100" t="str">
        <x:v>证据强度</x:v>
      </x:c>
      <x:c r="C58" s="100" t="str">
        <x:v>moderate</x:v>
      </x:c>
      <x:c r="D58" s="100" t="str">
        <x:v>中</x:v>
      </x:c>
      <x:c r="E58" s="100" t="str">
        <x:v>Moderate</x:v>
      </x:c>
      <x:c r="F58" s="100" t="str">
        <x:v>具有支持力但存在间接性或版本局限</x:v>
      </x:c>
      <x:c r="G58" s="100" t="str"/>
      <x:c r="H58" s="100" t="str"/>
      <x:c r="I58" s="100" t="str">
        <x:v>true</x:v>
      </x:c>
      <x:c r="J58" s="100" t="str">
        <x:v>30</x:v>
      </x:c>
    </x:row>
    <x:row r="59" ht="32" customHeight="1">
      <x:c r="A59" s="100" t="str">
        <x:v>evidence_strength</x:v>
      </x:c>
      <x:c r="B59" s="100" t="str">
        <x:v>证据强度</x:v>
      </x:c>
      <x:c r="C59" s="100" t="str">
        <x:v>weak</x:v>
      </x:c>
      <x:c r="D59" s="100" t="str">
        <x:v>弱</x:v>
      </x:c>
      <x:c r="E59" s="100" t="str">
        <x:v>Weak</x:v>
      </x:c>
      <x:c r="F59" s="100" t="str">
        <x:v>只能提供有限线索或来源质量较低</x:v>
      </x:c>
      <x:c r="G59" s="100" t="str"/>
      <x:c r="H59" s="100" t="str"/>
      <x:c r="I59" s="100" t="str">
        <x:v>true</x:v>
      </x:c>
      <x:c r="J59" s="100" t="str">
        <x:v>40</x:v>
      </x:c>
    </x:row>
    <x:row r="60" ht="32" customHeight="1">
      <x:c r="A60" s="100" t="str">
        <x:v>evidence_strength</x:v>
      </x:c>
      <x:c r="B60" s="100" t="str">
        <x:v>证据强度</x:v>
      </x:c>
      <x:c r="C60" s="100" t="str">
        <x:v>unrated</x:v>
      </x:c>
      <x:c r="D60" s="100" t="str">
        <x:v>未评级</x:v>
      </x:c>
      <x:c r="E60" s="100" t="str">
        <x:v>Unrated</x:v>
      </x:c>
      <x:c r="F60" s="100" t="str">
        <x:v>尚未由审核者给出强度判断</x:v>
      </x:c>
      <x:c r="G60" s="100" t="str"/>
      <x:c r="H60" s="100" t="str"/>
      <x:c r="I60" s="100" t="str">
        <x:v>true</x:v>
      </x:c>
      <x:c r="J60" s="100" t="str">
        <x:v>50</x:v>
      </x:c>
    </x:row>
    <x:row r="61" ht="32" customHeight="1">
      <x:c r="A61" s="100" t="str">
        <x:v>certainty</x:v>
      </x:c>
      <x:c r="B61" s="100" t="str">
        <x:v>确定性</x:v>
      </x:c>
      <x:c r="C61" s="100" t="str">
        <x:v>exact</x:v>
      </x:c>
      <x:c r="D61" s="100" t="str">
        <x:v>确定</x:v>
      </x:c>
      <x:c r="E61" s="100" t="str">
        <x:v>Exact</x:v>
      </x:c>
      <x:c r="F61" s="100" t="str">
        <x:v>证据支持精确陈述</x:v>
      </x:c>
      <x:c r="G61" s="100" t="str"/>
      <x:c r="H61" s="100" t="str"/>
      <x:c r="I61" s="100" t="str">
        <x:v>true</x:v>
      </x:c>
      <x:c r="J61" s="100" t="str">
        <x:v>10</x:v>
      </x:c>
    </x:row>
    <x:row r="62" ht="32" customHeight="1">
      <x:c r="A62" s="100" t="str">
        <x:v>certainty</x:v>
      </x:c>
      <x:c r="B62" s="100" t="str">
        <x:v>确定性</x:v>
      </x:c>
      <x:c r="C62" s="100" t="str">
        <x:v>approximate</x:v>
      </x:c>
      <x:c r="D62" s="100" t="str">
        <x:v>约略</x:v>
      </x:c>
      <x:c r="E62" s="100" t="str">
        <x:v>Approximate</x:v>
      </x:c>
      <x:c r="F62" s="100" t="str">
        <x:v>时间数量或描述只能给出近似值</x:v>
      </x:c>
      <x:c r="G62" s="100" t="str"/>
      <x:c r="H62" s="100" t="str"/>
      <x:c r="I62" s="100" t="str">
        <x:v>true</x:v>
      </x:c>
      <x:c r="J62" s="100" t="str">
        <x:v>20</x:v>
      </x:c>
    </x:row>
    <x:row r="63" ht="32" customHeight="1">
      <x:c r="A63" s="100" t="str">
        <x:v>certainty</x:v>
      </x:c>
      <x:c r="B63" s="100" t="str">
        <x:v>确定性</x:v>
      </x:c>
      <x:c r="C63" s="100" t="str">
        <x:v>uncertain</x:v>
      </x:c>
      <x:c r="D63" s="100" t="str">
        <x:v>不确定</x:v>
      </x:c>
      <x:c r="E63" s="100" t="str">
        <x:v>Uncertain</x:v>
      </x:c>
      <x:c r="F63" s="100" t="str">
        <x:v>有明确不确定性但仍可提出候选</x:v>
      </x:c>
      <x:c r="G63" s="100" t="str"/>
      <x:c r="H63" s="100" t="str"/>
      <x:c r="I63" s="100" t="str">
        <x:v>true</x:v>
      </x:c>
      <x:c r="J63" s="100" t="str">
        <x:v>30</x:v>
      </x:c>
    </x:row>
    <x:row r="64" ht="32" customHeight="1">
      <x:c r="A64" s="100" t="str">
        <x:v>certainty</x:v>
      </x:c>
      <x:c r="B64" s="100" t="str">
        <x:v>确定性</x:v>
      </x:c>
      <x:c r="C64" s="100" t="str">
        <x:v>approximate_uncertain</x:v>
      </x:c>
      <x:c r="D64" s="100" t="str">
        <x:v>约略且不确定</x:v>
      </x:c>
      <x:c r="E64" s="100" t="str">
        <x:v>Approximate and uncertain</x:v>
      </x:c>
      <x:c r="F64" s="100" t="str">
        <x:v>同时存在近似与不确定</x:v>
      </x:c>
      <x:c r="G64" s="100" t="str"/>
      <x:c r="H64" s="100" t="str"/>
      <x:c r="I64" s="100" t="str">
        <x:v>true</x:v>
      </x:c>
      <x:c r="J64" s="100" t="str">
        <x:v>40</x:v>
      </x:c>
    </x:row>
    <x:row r="65" ht="32" customHeight="1">
      <x:c r="A65" s="100" t="str">
        <x:v>certainty</x:v>
      </x:c>
      <x:c r="B65" s="100" t="str">
        <x:v>确定性</x:v>
      </x:c>
      <x:c r="C65" s="100" t="str">
        <x:v>inferred</x:v>
      </x:c>
      <x:c r="D65" s="100" t="str">
        <x:v>推定</x:v>
      </x:c>
      <x:c r="E65" s="100" t="str">
        <x:v>Inferred</x:v>
      </x:c>
      <x:c r="F65" s="100" t="str">
        <x:v>由编辑根据材料推定而来</x:v>
      </x:c>
      <x:c r="G65" s="100" t="str"/>
      <x:c r="H65" s="100" t="str"/>
      <x:c r="I65" s="100" t="str">
        <x:v>true</x:v>
      </x:c>
      <x:c r="J65" s="100" t="str">
        <x:v>50</x:v>
      </x:c>
    </x:row>
    <x:row r="66" ht="32" customHeight="1">
      <x:c r="A66" s="100" t="str">
        <x:v>certainty</x:v>
      </x:c>
      <x:c r="B66" s="100" t="str">
        <x:v>确定性</x:v>
      </x:c>
      <x:c r="C66" s="100" t="str">
        <x:v>unknown</x:v>
      </x:c>
      <x:c r="D66" s="100" t="str">
        <x:v>未知</x:v>
      </x:c>
      <x:c r="E66" s="100" t="str">
        <x:v>Unknown</x:v>
      </x:c>
      <x:c r="F66" s="100" t="str">
        <x:v>目前无法判断</x:v>
      </x:c>
      <x:c r="G66" s="100" t="str"/>
      <x:c r="H66" s="100" t="str"/>
      <x:c r="I66" s="100" t="str">
        <x:v>true</x:v>
      </x:c>
      <x:c r="J66" s="100" t="str">
        <x:v>60</x:v>
      </x:c>
    </x:row>
    <x:row r="67" ht="32" customHeight="1">
      <x:c r="A67" s="100" t="str">
        <x:v>rights_color</x:v>
      </x:c>
      <x:c r="B67" s="100" t="str">
        <x:v>权利颜色</x:v>
      </x:c>
      <x:c r="C67" s="100" t="str">
        <x:v>green</x:v>
      </x:c>
      <x:c r="D67" s="100" t="str">
        <x:v>绿</x:v>
      </x:c>
      <x:c r="E67" s="100" t="str">
        <x:v>Green</x:v>
      </x:c>
      <x:c r="F67" s="100" t="str">
        <x:v>已确认公版开放许可或书面授权；仍须遵守对象级条件</x:v>
      </x:c>
      <x:c r="G67" s="100" t="str"/>
      <x:c r="H67" s="100" t="str"/>
      <x:c r="I67" s="100" t="str">
        <x:v>true</x:v>
      </x:c>
      <x:c r="J67" s="100" t="str">
        <x:v>10</x:v>
      </x:c>
    </x:row>
    <x:row r="68" ht="32" customHeight="1">
      <x:c r="A68" s="100" t="str">
        <x:v>rights_color</x:v>
      </x:c>
      <x:c r="B68" s="100" t="str">
        <x:v>权利颜色</x:v>
      </x:c>
      <x:c r="C68" s="100" t="str">
        <x:v>yellow</x:v>
      </x:c>
      <x:c r="D68" s="100" t="str">
        <x:v>黄</x:v>
      </x:c>
      <x:c r="E68" s="100" t="str">
        <x:v>Yellow</x:v>
      </x:c>
      <x:c r="F68" s="100" t="str">
        <x:v>仅可查询或权利未完全确认；默认只保存自建元数据并外链</x:v>
      </x:c>
      <x:c r="G68" s="100" t="str"/>
      <x:c r="H68" s="100" t="str"/>
      <x:c r="I68" s="100" t="str">
        <x:v>true</x:v>
      </x:c>
      <x:c r="J68" s="100" t="str">
        <x:v>20</x:v>
      </x:c>
    </x:row>
    <x:row r="69" ht="32" customHeight="1">
      <x:c r="A69" s="100" t="str">
        <x:v>rights_color</x:v>
      </x:c>
      <x:c r="B69" s="100" t="str">
        <x:v>权利颜色</x:v>
      </x:c>
      <x:c r="C69" s="100" t="str">
        <x:v>red</x:v>
      </x:c>
      <x:c r="D69" s="100" t="str">
        <x:v>红</x:v>
      </x:c>
      <x:c r="E69" s="100" t="str">
        <x:v>Red</x:v>
      </x:c>
      <x:c r="F69" s="100" t="str">
        <x:v>明确禁止或当前条件不允许计划中的获取展示或商业使用</x:v>
      </x:c>
      <x:c r="G69" s="100" t="str"/>
      <x:c r="H69" s="100" t="str"/>
      <x:c r="I69" s="100" t="str">
        <x:v>true</x:v>
      </x:c>
      <x:c r="J69" s="100" t="str">
        <x:v>30</x:v>
      </x:c>
    </x:row>
    <x:row r="70" ht="32" customHeight="1">
      <x:c r="A70" s="100" t="str">
        <x:v>source_level</x:v>
      </x:c>
      <x:c r="B70" s="100" t="str">
        <x:v>来源等级</x:v>
      </x:c>
      <x:c r="C70" s="100" t="str">
        <x:v>A1</x:v>
      </x:c>
      <x:c r="D70" s="100" t="str">
        <x:v>原始同时代档案</x:v>
      </x:c>
      <x:c r="E70" s="100" t="str">
        <x:v>A1 primary contemporary archive</x:v>
      </x:c>
      <x:c r="F70" s="100" t="str">
        <x:v>事件或制度运行中形成的原始档案</x:v>
      </x:c>
      <x:c r="G70" s="100" t="str"/>
      <x:c r="H70" s="100" t="str"/>
      <x:c r="I70" s="100" t="str">
        <x:v>true</x:v>
      </x:c>
      <x:c r="J70" s="100" t="str">
        <x:v>10</x:v>
      </x:c>
    </x:row>
    <x:row r="71" ht="32" customHeight="1">
      <x:c r="A71" s="100" t="str">
        <x:v>source_level</x:v>
      </x:c>
      <x:c r="B71" s="100" t="str">
        <x:v>来源等级</x:v>
      </x:c>
      <x:c r="C71" s="100" t="str">
        <x:v>A2</x:v>
      </x:c>
      <x:c r="D71" s="100" t="str">
        <x:v>官修汇编与制度文献</x:v>
      </x:c>
      <x:c r="E71" s="100" t="str">
        <x:v>A2 official compilation</x:v>
      </x:c>
      <x:c r="F71" s="100" t="str">
        <x:v>官修实录会典史馆材料等；仍需注意修纂目的与时间差</x:v>
      </x:c>
      <x:c r="G71" s="100" t="str"/>
      <x:c r="H71" s="100" t="str"/>
      <x:c r="I71" s="100" t="str">
        <x:v>true</x:v>
      </x:c>
      <x:c r="J71" s="100" t="str">
        <x:v>20</x:v>
      </x:c>
    </x:row>
    <x:row r="72" ht="32" customHeight="1">
      <x:c r="A72" s="100" t="str">
        <x:v>source_level</x:v>
      </x:c>
      <x:c r="B72" s="100" t="str">
        <x:v>来源等级</x:v>
      </x:c>
      <x:c r="C72" s="100" t="str">
        <x:v>B</x:v>
      </x:c>
      <x:c r="D72" s="100" t="str">
        <x:v>权威整理与学术研究</x:v>
      </x:c>
      <x:c r="E72" s="100" t="str">
        <x:v>B scholarly or authoritative synthesis</x:v>
      </x:c>
      <x:c r="F72" s="100" t="str">
        <x:v>可靠整理本馆藏说明与同行研究</x:v>
      </x:c>
      <x:c r="G72" s="100" t="str"/>
      <x:c r="H72" s="100" t="str"/>
      <x:c r="I72" s="100" t="str">
        <x:v>true</x:v>
      </x:c>
      <x:c r="J72" s="100" t="str">
        <x:v>30</x:v>
      </x:c>
    </x:row>
    <x:row r="73" ht="32" customHeight="1">
      <x:c r="A73" s="100" t="str">
        <x:v>source_level</x:v>
      </x:c>
      <x:c r="B73" s="100" t="str">
        <x:v>来源等级</x:v>
      </x:c>
      <x:c r="C73" s="100" t="str">
        <x:v>C</x:v>
      </x:c>
      <x:c r="D73" s="100" t="str">
        <x:v>通行数字文本与参考工具</x:v>
      </x:c>
      <x:c r="E73" s="100" t="str">
        <x:v>C reference or digital text</x:v>
      </x:c>
      <x:c r="F73" s="100" t="str">
        <x:v>便于发现但版本OCR或权利需再核验</x:v>
      </x:c>
      <x:c r="G73" s="100" t="str"/>
      <x:c r="H73" s="100" t="str"/>
      <x:c r="I73" s="100" t="str">
        <x:v>true</x:v>
      </x:c>
      <x:c r="J73" s="100" t="str">
        <x:v>40</x:v>
      </x:c>
    </x:row>
    <x:row r="74" ht="32" customHeight="1">
      <x:c r="A74" s="100" t="str">
        <x:v>source_level</x:v>
      </x:c>
      <x:c r="B74" s="100" t="str">
        <x:v>来源等级</x:v>
      </x:c>
      <x:c r="C74" s="100" t="str">
        <x:v>D</x:v>
      </x:c>
      <x:c r="D74" s="100" t="str">
        <x:v>未核传闻与大众内容</x:v>
      </x:c>
      <x:c r="E74" s="100" t="str">
        <x:v>D unverified popular content</x:v>
      </x:c>
      <x:c r="F74" s="100" t="str">
        <x:v>只能做线索不可进入正式事实层</x:v>
      </x:c>
      <x:c r="G74" s="100" t="str"/>
      <x:c r="H74" s="100" t="str"/>
      <x:c r="I74" s="100" t="str">
        <x:v>true</x:v>
      </x:c>
      <x:c r="J74" s="100" t="str">
        <x:v>50</x:v>
      </x:c>
    </x:row>
    <x:row r="75" ht="32" customHeight="1">
      <x:c r="A75" s="100" t="str">
        <x:v>review_status</x:v>
      </x:c>
      <x:c r="B75" s="100" t="str">
        <x:v>审核状态</x:v>
      </x:c>
      <x:c r="C75" s="100" t="str">
        <x:v>not_started</x:v>
      </x:c>
      <x:c r="D75" s="100" t="str">
        <x:v>未开始</x:v>
      </x:c>
      <x:c r="E75" s="100" t="str">
        <x:v>Not started</x:v>
      </x:c>
      <x:c r="F75" s="100" t="str">
        <x:v>尚未分派审核</x:v>
      </x:c>
      <x:c r="G75" s="100" t="str"/>
      <x:c r="H75" s="100" t="str"/>
      <x:c r="I75" s="100" t="str">
        <x:v>true</x:v>
      </x:c>
      <x:c r="J75" s="100" t="str">
        <x:v>10</x:v>
      </x:c>
    </x:row>
    <x:row r="76" ht="32" customHeight="1">
      <x:c r="A76" s="100" t="str">
        <x:v>review_status</x:v>
      </x:c>
      <x:c r="B76" s="100" t="str">
        <x:v>审核状态</x:v>
      </x:c>
      <x:c r="C76" s="100" t="str">
        <x:v>needs_source</x:v>
      </x:c>
      <x:c r="D76" s="100" t="str">
        <x:v>待补来源</x:v>
      </x:c>
      <x:c r="E76" s="100" t="str">
        <x:v>Needs source</x:v>
      </x:c>
      <x:c r="F76" s="100" t="str">
        <x:v>没有满足要求的具体来源与定位</x:v>
      </x:c>
      <x:c r="G76" s="100" t="str"/>
      <x:c r="H76" s="100" t="str"/>
      <x:c r="I76" s="100" t="str">
        <x:v>true</x:v>
      </x:c>
      <x:c r="J76" s="100" t="str">
        <x:v>20</x:v>
      </x:c>
    </x:row>
    <x:row r="77" ht="32" customHeight="1">
      <x:c r="A77" s="100" t="str">
        <x:v>review_status</x:v>
      </x:c>
      <x:c r="B77" s="100" t="str">
        <x:v>审核状态</x:v>
      </x:c>
      <x:c r="C77" s="100" t="str">
        <x:v>first_checked</x:v>
      </x:c>
      <x:c r="D77" s="100" t="str">
        <x:v>一校完成</x:v>
      </x:c>
      <x:c r="E77" s="100" t="str">
        <x:v>First checked</x:v>
      </x:c>
      <x:c r="F77" s="100" t="str">
        <x:v>文字和基础元数据已完成一校</x:v>
      </x:c>
      <x:c r="G77" s="100" t="str"/>
      <x:c r="H77" s="100" t="str"/>
      <x:c r="I77" s="100" t="str">
        <x:v>true</x:v>
      </x:c>
      <x:c r="J77" s="100" t="str">
        <x:v>30</x:v>
      </x:c>
    </x:row>
    <x:row r="78" ht="32" customHeight="1">
      <x:c r="A78" s="100" t="str">
        <x:v>review_status</x:v>
      </x:c>
      <x:c r="B78" s="100" t="str">
        <x:v>审核状态</x:v>
      </x:c>
      <x:c r="C78" s="100" t="str">
        <x:v>second_checked</x:v>
      </x:c>
      <x:c r="D78" s="100" t="str">
        <x:v>二校完成</x:v>
      </x:c>
      <x:c r="E78" s="100" t="str">
        <x:v>Second checked</x:v>
      </x:c>
      <x:c r="F78" s="100" t="str">
        <x:v>页行消歧日期与关系已完成二校</x:v>
      </x:c>
      <x:c r="G78" s="100" t="str"/>
      <x:c r="H78" s="100" t="str"/>
      <x:c r="I78" s="100" t="str">
        <x:v>true</x:v>
      </x:c>
      <x:c r="J78" s="100" t="str">
        <x:v>40</x:v>
      </x:c>
    </x:row>
    <x:row r="79" ht="32" customHeight="1">
      <x:c r="A79" s="100" t="str">
        <x:v>review_status</x:v>
      </x:c>
      <x:c r="B79" s="100" t="str">
        <x:v>审核状态</x:v>
      </x:c>
      <x:c r="C79" s="100" t="str">
        <x:v>academic_review</x:v>
      </x:c>
      <x:c r="D79" s="100" t="str">
        <x:v>学术审核中</x:v>
      </x:c>
      <x:c r="E79" s="100" t="str">
        <x:v>Academic review</x:v>
      </x:c>
      <x:c r="F79" s="100" t="str">
        <x:v>由学术负责人或授权审核者复核</x:v>
      </x:c>
      <x:c r="G79" s="100" t="str"/>
      <x:c r="H79" s="100" t="str"/>
      <x:c r="I79" s="100" t="str">
        <x:v>true</x:v>
      </x:c>
      <x:c r="J79" s="100" t="str">
        <x:v>50</x:v>
      </x:c>
    </x:row>
    <x:row r="80" ht="32" customHeight="1">
      <x:c r="A80" s="100" t="str">
        <x:v>review_status</x:v>
      </x:c>
      <x:c r="B80" s="100" t="str">
        <x:v>审核状态</x:v>
      </x:c>
      <x:c r="C80" s="100" t="str">
        <x:v>rights_review</x:v>
      </x:c>
      <x:c r="D80" s="100" t="str">
        <x:v>权利审核中</x:v>
      </x:c>
      <x:c r="E80" s="100" t="str">
        <x:v>Rights review</x:v>
      </x:c>
      <x:c r="F80" s="100" t="str">
        <x:v>由版权与馆藏负责人复核</x:v>
      </x:c>
      <x:c r="G80" s="100" t="str"/>
      <x:c r="H80" s="100" t="str"/>
      <x:c r="I80" s="100" t="str">
        <x:v>true</x:v>
      </x:c>
      <x:c r="J80" s="100" t="str">
        <x:v>60</x:v>
      </x:c>
    </x:row>
    <x:row r="81" ht="32" customHeight="1">
      <x:c r="A81" s="100" t="str">
        <x:v>review_status</x:v>
      </x:c>
      <x:c r="B81" s="100" t="str">
        <x:v>审核状态</x:v>
      </x:c>
      <x:c r="C81" s="100" t="str">
        <x:v>approved</x:v>
      </x:c>
      <x:c r="D81" s="100" t="str">
        <x:v>已通过</x:v>
      </x:c>
      <x:c r="E81" s="100" t="str">
        <x:v>Approved</x:v>
      </x:c>
      <x:c r="F81" s="100" t="str">
        <x:v>已满足当前发布门槛</x:v>
      </x:c>
      <x:c r="G81" s="100" t="str"/>
      <x:c r="H81" s="100" t="str"/>
      <x:c r="I81" s="100" t="str">
        <x:v>true</x:v>
      </x:c>
      <x:c r="J81" s="100" t="str">
        <x:v>70</x:v>
      </x:c>
    </x:row>
    <x:row r="82" ht="32" customHeight="1">
      <x:c r="A82" s="100" t="str">
        <x:v>review_status</x:v>
      </x:c>
      <x:c r="B82" s="100" t="str">
        <x:v>审核状态</x:v>
      </x:c>
      <x:c r="C82" s="100" t="str">
        <x:v>blocked</x:v>
      </x:c>
      <x:c r="D82" s="100" t="str">
        <x:v>阻塞</x:v>
      </x:c>
      <x:c r="E82" s="100" t="str">
        <x:v>Blocked</x:v>
      </x:c>
      <x:c r="F82" s="100" t="str">
        <x:v>因缺来源权限专家或其他前置条件无法继续</x:v>
      </x:c>
      <x:c r="G82" s="100" t="str"/>
      <x:c r="H82" s="100" t="str"/>
      <x:c r="I82" s="100" t="str">
        <x:v>true</x:v>
      </x:c>
      <x:c r="J82" s="100" t="str">
        <x:v>80</x:v>
      </x:c>
    </x:row>
    <x:row r="83" ht="32" customHeight="1">
      <x:c r="A83" s="100" t="str">
        <x:v>priority</x:v>
      </x:c>
      <x:c r="B83" s="100" t="str">
        <x:v>优先级</x:v>
      </x:c>
      <x:c r="C83" s="100" t="str">
        <x:v>P0</x:v>
      </x:c>
      <x:c r="D83" s="100" t="str">
        <x:v>阻断级</x:v>
      </x:c>
      <x:c r="E83" s="100" t="str">
        <x:v>P0 blocker</x:v>
      </x:c>
      <x:c r="F83" s="100" t="str">
        <x:v>会导致错误历史结论侵权或不可恢复数据问题</x:v>
      </x:c>
      <x:c r="G83" s="100" t="str"/>
      <x:c r="H83" s="100" t="str"/>
      <x:c r="I83" s="100" t="str">
        <x:v>true</x:v>
      </x:c>
      <x:c r="J83" s="100" t="str">
        <x:v>10</x:v>
      </x:c>
    </x:row>
    <x:row r="84" ht="32" customHeight="1">
      <x:c r="A84" s="100" t="str">
        <x:v>priority</x:v>
      </x:c>
      <x:c r="B84" s="100" t="str">
        <x:v>优先级</x:v>
      </x:c>
      <x:c r="C84" s="100" t="str">
        <x:v>P1</x:v>
      </x:c>
      <x:c r="D84" s="100" t="str">
        <x:v>核心级</x:v>
      </x:c>
      <x:c r="E84" s="100" t="str">
        <x:v>P1 critical</x:v>
      </x:c>
      <x:c r="F84" s="100" t="str">
        <x:v>阻断核心任务或造成系统性误导</x:v>
      </x:c>
      <x:c r="G84" s="100" t="str"/>
      <x:c r="H84" s="100" t="str"/>
      <x:c r="I84" s="100" t="str">
        <x:v>true</x:v>
      </x:c>
      <x:c r="J84" s="100" t="str">
        <x:v>20</x:v>
      </x:c>
    </x:row>
    <x:row r="85" ht="32" customHeight="1">
      <x:c r="A85" s="100" t="str">
        <x:v>priority</x:v>
      </x:c>
      <x:c r="B85" s="100" t="str">
        <x:v>优先级</x:v>
      </x:c>
      <x:c r="C85" s="100" t="str">
        <x:v>P2</x:v>
      </x:c>
      <x:c r="D85" s="100" t="str">
        <x:v>重要级</x:v>
      </x:c>
      <x:c r="E85" s="100" t="str">
        <x:v>P2 important</x:v>
      </x:c>
      <x:c r="F85" s="100" t="str">
        <x:v>影响效率或非核心体验但不阻断验证</x:v>
      </x:c>
      <x:c r="G85" s="100" t="str"/>
      <x:c r="H85" s="100" t="str"/>
      <x:c r="I85" s="100" t="str">
        <x:v>true</x:v>
      </x:c>
      <x:c r="J85" s="100" t="str">
        <x:v>30</x:v>
      </x:c>
    </x:row>
    <x:row r="86" ht="32" customHeight="1">
      <x:c r="A86" s="100" t="str">
        <x:v>priority</x:v>
      </x:c>
      <x:c r="B86" s="100" t="str">
        <x:v>优先级</x:v>
      </x:c>
      <x:c r="C86" s="100" t="str">
        <x:v>P3</x:v>
      </x:c>
      <x:c r="D86" s="100" t="str">
        <x:v>优化级</x:v>
      </x:c>
      <x:c r="E86" s="100" t="str">
        <x:v>P3 polish</x:v>
      </x:c>
      <x:c r="F86" s="100" t="str">
        <x:v>外观偏好或未来扩展想法</x:v>
      </x:c>
      <x:c r="G86" s="100" t="str"/>
      <x:c r="H86" s="100" t="str"/>
      <x:c r="I86" s="100" t="str">
        <x:v>true</x:v>
      </x:c>
      <x:c r="J86" s="100" t="str">
        <x:v>40</x:v>
      </x:c>
    </x:row>
    <x:row r="87" ht="32" customHeight="1">
      <x:c r="A87" s="100" t="str">
        <x:v>depiction_identification</x:v>
      </x:c>
      <x:c r="B87" s="100" t="str">
        <x:v>画像人物认定</x:v>
      </x:c>
      <x:c r="C87" s="100" t="str">
        <x:v>inscription_explicit</x:v>
      </x:c>
      <x:c r="D87" s="100" t="str">
        <x:v>题名明确</x:v>
      </x:c>
      <x:c r="E87" s="100" t="str">
        <x:v>Inscription explicit</x:v>
      </x:c>
      <x:c r="F87" s="100" t="str">
        <x:v>画面题名或同时代文字明确指认人物</x:v>
      </x:c>
      <x:c r="G87" s="100" t="str"/>
      <x:c r="H87" s="100" t="str"/>
      <x:c r="I87" s="100" t="str">
        <x:v>true</x:v>
      </x:c>
      <x:c r="J87" s="100" t="str">
        <x:v>10</x:v>
      </x:c>
    </x:row>
    <x:row r="88" ht="32" customHeight="1">
      <x:c r="A88" s="100" t="str">
        <x:v>depiction_identification</x:v>
      </x:c>
      <x:c r="B88" s="100" t="str">
        <x:v>画像人物认定</x:v>
      </x:c>
      <x:c r="C88" s="100" t="str">
        <x:v>catalog_attribution</x:v>
      </x:c>
      <x:c r="D88" s="100" t="str">
        <x:v>馆藏著录认定</x:v>
      </x:c>
      <x:c r="E88" s="100" t="str">
        <x:v>Catalog attribution</x:v>
      </x:c>
      <x:c r="F88" s="100" t="str">
        <x:v>当前馆藏目录把画面著录为该人物</x:v>
      </x:c>
      <x:c r="G88" s="100" t="str"/>
      <x:c r="H88" s="100" t="str"/>
      <x:c r="I88" s="100" t="str">
        <x:v>true</x:v>
      </x:c>
      <x:c r="J88" s="100" t="str">
        <x:v>20</x:v>
      </x:c>
    </x:row>
    <x:row r="89" ht="32" customHeight="1">
      <x:c r="A89" s="100" t="str">
        <x:v>depiction_identification</x:v>
      </x:c>
      <x:c r="B89" s="100" t="str">
        <x:v>画像人物认定</x:v>
      </x:c>
      <x:c r="C89" s="100" t="str">
        <x:v>scholarly_identification</x:v>
      </x:c>
      <x:c r="D89" s="100" t="str">
        <x:v>学术研究认定</x:v>
      </x:c>
      <x:c r="E89" s="100" t="str">
        <x:v>Scholarly identification</x:v>
      </x:c>
      <x:c r="F89" s="100" t="str">
        <x:v>学术研究基于材料提出人物认定</x:v>
      </x:c>
      <x:c r="G89" s="100" t="str"/>
      <x:c r="H89" s="100" t="str"/>
      <x:c r="I89" s="100" t="str">
        <x:v>true</x:v>
      </x:c>
      <x:c r="J89" s="100" t="str">
        <x:v>30</x:v>
      </x:c>
    </x:row>
    <x:row r="90" ht="32" customHeight="1">
      <x:c r="A90" s="100" t="str">
        <x:v>depiction_identification</x:v>
      </x:c>
      <x:c r="B90" s="100" t="str">
        <x:v>画像人物认定</x:v>
      </x:c>
      <x:c r="C90" s="100" t="str">
        <x:v>traditional_identification</x:v>
      </x:c>
      <x:c r="D90" s="100" t="str">
        <x:v>传统传称</x:v>
      </x:c>
      <x:c r="E90" s="100" t="str">
        <x:v>Traditional identification</x:v>
      </x:c>
      <x:c r="F90" s="100" t="str">
        <x:v>长期传为某人但证据链有限</x:v>
      </x:c>
      <x:c r="G90" s="100" t="str"/>
      <x:c r="H90" s="100" t="str"/>
      <x:c r="I90" s="100" t="str">
        <x:v>true</x:v>
      </x:c>
      <x:c r="J90" s="100" t="str">
        <x:v>40</x:v>
      </x:c>
    </x:row>
    <x:row r="91" ht="32" customHeight="1">
      <x:c r="A91" s="100" t="str">
        <x:v>depiction_identification</x:v>
      </x:c>
      <x:c r="B91" s="100" t="str">
        <x:v>画像人物认定</x:v>
      </x:c>
      <x:c r="C91" s="100" t="str">
        <x:v>probable</x:v>
      </x:c>
      <x:c r="D91" s="100" t="str">
        <x:v>很可能</x:v>
      </x:c>
      <x:c r="E91" s="100" t="str">
        <x:v>Probable</x:v>
      </x:c>
      <x:c r="F91" s="100" t="str">
        <x:v>综合证据较可能但尚非确定</x:v>
      </x:c>
      <x:c r="G91" s="100" t="str"/>
      <x:c r="H91" s="100" t="str"/>
      <x:c r="I91" s="100" t="str">
        <x:v>true</x:v>
      </x:c>
      <x:c r="J91" s="100" t="str">
        <x:v>50</x:v>
      </x:c>
    </x:row>
    <x:row r="92" ht="32" customHeight="1">
      <x:c r="A92" s="100" t="str">
        <x:v>depiction_identification</x:v>
      </x:c>
      <x:c r="B92" s="100" t="str">
        <x:v>画像人物认定</x:v>
      </x:c>
      <x:c r="C92" s="100" t="str">
        <x:v>possible</x:v>
      </x:c>
      <x:c r="D92" s="100" t="str">
        <x:v>可能</x:v>
      </x:c>
      <x:c r="E92" s="100" t="str">
        <x:v>Possible</x:v>
      </x:c>
      <x:c r="F92" s="100" t="str">
        <x:v>只能作为可能候选</x:v>
      </x:c>
      <x:c r="G92" s="100" t="str"/>
      <x:c r="H92" s="100" t="str"/>
      <x:c r="I92" s="100" t="str">
        <x:v>true</x:v>
      </x:c>
      <x:c r="J92" s="100" t="str">
        <x:v>60</x:v>
      </x:c>
    </x:row>
    <x:row r="93" ht="32" customHeight="1">
      <x:c r="A93" s="100" t="str">
        <x:v>depiction_identification</x:v>
      </x:c>
      <x:c r="B93" s="100" t="str">
        <x:v>画像人物认定</x:v>
      </x:c>
      <x:c r="C93" s="100" t="str">
        <x:v>rejected_identification</x:v>
      </x:c>
      <x:c r="D93" s="100" t="str">
        <x:v>已否定认定</x:v>
      </x:c>
      <x:c r="E93" s="100" t="str">
        <x:v>Rejected identification</x:v>
      </x:c>
      <x:c r="F93" s="100" t="str">
        <x:v>已有充分理由否定旧的人物认定</x:v>
      </x:c>
      <x:c r="G93" s="100" t="str"/>
      <x:c r="H93" s="100" t="str"/>
      <x:c r="I93" s="100" t="str">
        <x:v>true</x:v>
      </x:c>
      <x:c r="J93" s="100" t="str">
        <x:v>70</x:v>
      </x:c>
    </x:row>
    <x:row r="94" ht="32" customHeight="1">
      <x:c r="A94" s="100" t="str">
        <x:v>image_nature</x:v>
      </x:c>
      <x:c r="B94" s="100" t="str">
        <x:v>图像性质</x:v>
      </x:c>
      <x:c r="C94" s="100" t="str">
        <x:v>historical_original</x:v>
      </x:c>
      <x:c r="D94" s="100" t="str">
        <x:v>历史原件</x:v>
      </x:c>
      <x:c r="E94" s="100" t="str">
        <x:v>Historical original</x:v>
      </x:c>
      <x:c r="F94" s="100" t="str">
        <x:v>清代形成且与对象同时代或接近同时代的原件</x:v>
      </x:c>
      <x:c r="G94" s="100" t="str"/>
      <x:c r="H94" s="100" t="str"/>
      <x:c r="I94" s="100" t="str">
        <x:v>true</x:v>
      </x:c>
      <x:c r="J94" s="100" t="str">
        <x:v>10</x:v>
      </x:c>
    </x:row>
    <x:row r="95" ht="32" customHeight="1">
      <x:c r="A95" s="100" t="str">
        <x:v>image_nature</x:v>
      </x:c>
      <x:c r="B95" s="100" t="str">
        <x:v>图像性质</x:v>
      </x:c>
      <x:c r="C95" s="100" t="str">
        <x:v>later_historical_art</x:v>
      </x:c>
      <x:c r="D95" s="100" t="str">
        <x:v>后世历史艺术</x:v>
      </x:c>
      <x:c r="E95" s="100" t="str">
        <x:v>Later historical art</x:v>
      </x:c>
      <x:c r="F95" s="100" t="str">
        <x:v>晚于对象所处时代的传统或历史题材创作</x:v>
      </x:c>
      <x:c r="G95" s="100" t="str"/>
      <x:c r="H95" s="100" t="str"/>
      <x:c r="I95" s="100" t="str">
        <x:v>true</x:v>
      </x:c>
      <x:c r="J95" s="100" t="str">
        <x:v>20</x:v>
      </x:c>
    </x:row>
    <x:row r="96" ht="32" customHeight="1">
      <x:c r="A96" s="100" t="str">
        <x:v>image_nature</x:v>
      </x:c>
      <x:c r="B96" s="100" t="str">
        <x:v>图像性质</x:v>
      </x:c>
      <x:c r="C96" s="100" t="str">
        <x:v>modern_illustration</x:v>
      </x:c>
      <x:c r="D96" s="100" t="str">
        <x:v>现代插画</x:v>
      </x:c>
      <x:c r="E96" s="100" t="str">
        <x:v>Modern illustration</x:v>
      </x:c>
      <x:c r="F96" s="100" t="str">
        <x:v>现代人工创作的说明性或艺术性图像</x:v>
      </x:c>
      <x:c r="G96" s="100" t="str"/>
      <x:c r="H96" s="100" t="str"/>
      <x:c r="I96" s="100" t="str">
        <x:v>true</x:v>
      </x:c>
      <x:c r="J96" s="100" t="str">
        <x:v>30</x:v>
      </x:c>
    </x:row>
    <x:row r="97" ht="32" customHeight="1">
      <x:c r="A97" s="100" t="str">
        <x:v>image_nature</x:v>
      </x:c>
      <x:c r="B97" s="100" t="str">
        <x:v>图像性质</x:v>
      </x:c>
      <x:c r="C97" s="100" t="str">
        <x:v>ai_reconstruction</x:v>
      </x:c>
      <x:c r="D97" s="100" t="str">
        <x:v>AI 再现</x:v>
      </x:c>
      <x:c r="E97" s="100" t="str">
        <x:v>AI reconstruction</x:v>
      </x:c>
      <x:c r="F97" s="100" t="str">
        <x:v>由生成式模型制作的假想视觉再现；不得伪装成史料</x:v>
      </x:c>
      <x:c r="G97" s="100" t="str"/>
      <x:c r="H97" s="100" t="str"/>
      <x:c r="I97" s="100" t="str">
        <x:v>true</x:v>
      </x:c>
      <x:c r="J97" s="100" t="str">
        <x:v>40</x:v>
      </x:c>
    </x:row>
    <x:row r="98" ht="32" customHeight="1">
      <x:c r="A98" s="100" t="str">
        <x:v>image_nature</x:v>
      </x:c>
      <x:c r="B98" s="100" t="str">
        <x:v>图像性质</x:v>
      </x:c>
      <x:c r="C98" s="100" t="str">
        <x:v>document_scan</x:v>
      </x:c>
      <x:c r="D98" s="100" t="str">
        <x:v>文献影像</x:v>
      </x:c>
      <x:c r="E98" s="100" t="str">
        <x:v>Document scan</x:v>
      </x:c>
      <x:c r="F98" s="100" t="str">
        <x:v>书页档案或文献载体的数字影像</x:v>
      </x:c>
      <x:c r="G98" s="100" t="str"/>
      <x:c r="H98" s="100" t="str"/>
      <x:c r="I98" s="100" t="str">
        <x:v>true</x:v>
      </x:c>
      <x:c r="J98" s="100" t="str">
        <x:v>50</x:v>
      </x:c>
    </x:row>
    <x:row r="99" ht="32" customHeight="1">
      <x:c r="A99" s="100" t="str">
        <x:v>task_status</x:v>
      </x:c>
      <x:c r="B99" s="100" t="str">
        <x:v>任务状态</x:v>
      </x:c>
      <x:c r="C99" s="100" t="str">
        <x:v>not_started</x:v>
      </x:c>
      <x:c r="D99" s="100" t="str">
        <x:v>未开始</x:v>
      </x:c>
      <x:c r="E99" s="100" t="str">
        <x:v>Not started</x:v>
      </x:c>
      <x:c r="F99" s="100" t="str">
        <x:v>任务尚未启动</x:v>
      </x:c>
      <x:c r="G99" s="100" t="str"/>
      <x:c r="H99" s="100" t="str"/>
      <x:c r="I99" s="100" t="str">
        <x:v>true</x:v>
      </x:c>
      <x:c r="J99" s="100" t="str">
        <x:v>10</x:v>
      </x:c>
    </x:row>
    <x:row r="100" ht="32" customHeight="1">
      <x:c r="A100" s="100" t="str">
        <x:v>task_status</x:v>
      </x:c>
      <x:c r="B100" s="100" t="str">
        <x:v>任务状态</x:v>
      </x:c>
      <x:c r="C100" s="100" t="str">
        <x:v>in_progress</x:v>
      </x:c>
      <x:c r="D100" s="100" t="str">
        <x:v>进行中</x:v>
      </x:c>
      <x:c r="E100" s="100" t="str">
        <x:v>In progress</x:v>
      </x:c>
      <x:c r="F100" s="100" t="str">
        <x:v>任务已启动且正在推进</x:v>
      </x:c>
      <x:c r="G100" s="100" t="str"/>
      <x:c r="H100" s="100" t="str"/>
      <x:c r="I100" s="100" t="str">
        <x:v>true</x:v>
      </x:c>
      <x:c r="J100" s="100" t="str">
        <x:v>20</x:v>
      </x:c>
    </x:row>
    <x:row r="101" ht="32" customHeight="1">
      <x:c r="A101" s="100" t="str">
        <x:v>task_status</x:v>
      </x:c>
      <x:c r="B101" s="100" t="str">
        <x:v>任务状态</x:v>
      </x:c>
      <x:c r="C101" s="100" t="str">
        <x:v>blocked</x:v>
      </x:c>
      <x:c r="D101" s="100" t="str">
        <x:v>阻塞</x:v>
      </x:c>
      <x:c r="E101" s="100" t="str">
        <x:v>Blocked</x:v>
      </x:c>
      <x:c r="F101" s="100" t="str">
        <x:v>任务因明确前置条件无法继续</x:v>
      </x:c>
      <x:c r="G101" s="100" t="str"/>
      <x:c r="H101" s="100" t="str"/>
      <x:c r="I101" s="100" t="str">
        <x:v>true</x:v>
      </x:c>
      <x:c r="J101" s="100" t="str">
        <x:v>30</x:v>
      </x:c>
    </x:row>
    <x:row r="102" ht="32" customHeight="1">
      <x:c r="A102" s="100" t="str">
        <x:v>task_status</x:v>
      </x:c>
      <x:c r="B102" s="100" t="str">
        <x:v>任务状态</x:v>
      </x:c>
      <x:c r="C102" s="100" t="str">
        <x:v>under_review</x:v>
      </x:c>
      <x:c r="D102" s="100" t="str">
        <x:v>待审核</x:v>
      </x:c>
      <x:c r="E102" s="100" t="str">
        <x:v>Under review</x:v>
      </x:c>
      <x:c r="F102" s="100" t="str">
        <x:v>任务产出已提交等待审核</x:v>
      </x:c>
      <x:c r="G102" s="100" t="str"/>
      <x:c r="H102" s="100" t="str"/>
      <x:c r="I102" s="100" t="str">
        <x:v>true</x:v>
      </x:c>
      <x:c r="J102" s="100" t="str">
        <x:v>40</x:v>
      </x:c>
    </x:row>
    <x:row r="103" ht="32" customHeight="1">
      <x:c r="A103" s="100" t="str">
        <x:v>task_status</x:v>
      </x:c>
      <x:c r="B103" s="100" t="str">
        <x:v>任务状态</x:v>
      </x:c>
      <x:c r="C103" s="100" t="str">
        <x:v>complete</x:v>
      </x:c>
      <x:c r="D103" s="100" t="str">
        <x:v>已完成</x:v>
      </x:c>
      <x:c r="E103" s="100" t="str">
        <x:v>Complete</x:v>
      </x:c>
      <x:c r="F103" s="100" t="str">
        <x:v>任务达到退出标准并已验收</x:v>
      </x:c>
      <x:c r="G103" s="100" t="str"/>
      <x:c r="H103" s="100" t="str"/>
      <x:c r="I103" s="100" t="str">
        <x:v>true</x:v>
      </x:c>
      <x:c r="J103" s="100" t="str">
        <x:v>50</x:v>
      </x:c>
    </x:row>
    <x:row r="104" ht="32" customHeight="1">
      <x:c r="A104" s="100" t="str">
        <x:v>risk_status</x:v>
      </x:c>
      <x:c r="B104" s="100" t="str">
        <x:v>风险状态</x:v>
      </x:c>
      <x:c r="C104" s="100" t="str">
        <x:v>open</x:v>
      </x:c>
      <x:c r="D104" s="100" t="str">
        <x:v>开放</x:v>
      </x:c>
      <x:c r="E104" s="100" t="str">
        <x:v>Open</x:v>
      </x:c>
      <x:c r="F104" s="100" t="str">
        <x:v>风险已登记但尚未完成处置</x:v>
      </x:c>
      <x:c r="G104" s="100" t="str"/>
      <x:c r="H104" s="100" t="str"/>
      <x:c r="I104" s="100" t="str">
        <x:v>true</x:v>
      </x:c>
      <x:c r="J104" s="100" t="str">
        <x:v>10</x:v>
      </x:c>
    </x:row>
    <x:row r="105" ht="32" customHeight="1">
      <x:c r="A105" s="100" t="str">
        <x:v>risk_status</x:v>
      </x:c>
      <x:c r="B105" s="100" t="str">
        <x:v>风险状态</x:v>
      </x:c>
      <x:c r="C105" s="100" t="str">
        <x:v>mitigating</x:v>
      </x:c>
      <x:c r="D105" s="100" t="str">
        <x:v>缓解中</x:v>
      </x:c>
      <x:c r="E105" s="100" t="str">
        <x:v>Mitigating</x:v>
      </x:c>
      <x:c r="F105" s="100" t="str">
        <x:v>已启动预防或缓解动作</x:v>
      </x:c>
      <x:c r="G105" s="100" t="str"/>
      <x:c r="H105" s="100" t="str"/>
      <x:c r="I105" s="100" t="str">
        <x:v>true</x:v>
      </x:c>
      <x:c r="J105" s="100" t="str">
        <x:v>20</x:v>
      </x:c>
    </x:row>
    <x:row r="106" ht="32" customHeight="1">
      <x:c r="A106" s="100" t="str">
        <x:v>risk_status</x:v>
      </x:c>
      <x:c r="B106" s="100" t="str">
        <x:v>风险状态</x:v>
      </x:c>
      <x:c r="C106" s="100" t="str">
        <x:v>accepted</x:v>
      </x:c>
      <x:c r="D106" s="100" t="str">
        <x:v>已接受</x:v>
      </x:c>
      <x:c r="E106" s="100" t="str">
        <x:v>Accepted</x:v>
      </x:c>
      <x:c r="F106" s="100" t="str">
        <x:v>决策人知情并接受剩余风险</x:v>
      </x:c>
      <x:c r="G106" s="100" t="str"/>
      <x:c r="H106" s="100" t="str"/>
      <x:c r="I106" s="100" t="str">
        <x:v>true</x:v>
      </x:c>
      <x:c r="J106" s="100" t="str">
        <x:v>30</x:v>
      </x:c>
    </x:row>
    <x:row r="107" ht="32" customHeight="1">
      <x:c r="A107" s="100" t="str">
        <x:v>risk_status</x:v>
      </x:c>
      <x:c r="B107" s="100" t="str">
        <x:v>风险状态</x:v>
      </x:c>
      <x:c r="C107" s="100" t="str">
        <x:v>escalated</x:v>
      </x:c>
      <x:c r="D107" s="100" t="str">
        <x:v>已升级</x:v>
      </x:c>
      <x:c r="E107" s="100" t="str">
        <x:v>Escalated</x:v>
      </x:c>
      <x:c r="F107" s="100" t="str">
        <x:v>风险超出当前团队权限或阈值</x:v>
      </x:c>
      <x:c r="G107" s="100" t="str"/>
      <x:c r="H107" s="100" t="str"/>
      <x:c r="I107" s="100" t="str">
        <x:v>true</x:v>
      </x:c>
      <x:c r="J107" s="100" t="str">
        <x:v>40</x:v>
      </x:c>
    </x:row>
    <x:row r="108" ht="32" customHeight="1">
      <x:c r="A108" s="100" t="str">
        <x:v>risk_status</x:v>
      </x:c>
      <x:c r="B108" s="100" t="str">
        <x:v>风险状态</x:v>
      </x:c>
      <x:c r="C108" s="100" t="str">
        <x:v>closed</x:v>
      </x:c>
      <x:c r="D108" s="100" t="str">
        <x:v>已关闭</x:v>
      </x:c>
      <x:c r="E108" s="100" t="str">
        <x:v>Closed</x:v>
      </x:c>
      <x:c r="F108" s="100" t="str">
        <x:v>触发条件消失或措施已验证有效</x:v>
      </x:c>
      <x:c r="G108" s="100" t="str"/>
      <x:c r="H108" s="100" t="str"/>
      <x:c r="I108" s="100" t="str">
        <x:v>true</x:v>
      </x:c>
      <x:c r="J108" s="100" t="str">
        <x:v>50</x:v>
      </x:c>
    </x:row>
    <x:row r="109" ht="32" customHeight="1">
      <x:c r="A109" s="100" t="str">
        <x:v>decision_status</x:v>
      </x:c>
      <x:c r="B109" s="100" t="str">
        <x:v>决策状态</x:v>
      </x:c>
      <x:c r="C109" s="100" t="str">
        <x:v>proposed</x:v>
      </x:c>
      <x:c r="D109" s="100" t="str">
        <x:v>待决定</x:v>
      </x:c>
      <x:c r="E109" s="100" t="str">
        <x:v>Proposed</x:v>
      </x:c>
      <x:c r="F109" s="100" t="str">
        <x:v>决策方案已提出但未生效</x:v>
      </x:c>
      <x:c r="G109" s="100" t="str"/>
      <x:c r="H109" s="100" t="str"/>
      <x:c r="I109" s="100" t="str">
        <x:v>true</x:v>
      </x:c>
      <x:c r="J109" s="100" t="str">
        <x:v>10</x:v>
      </x:c>
    </x:row>
    <x:row r="110" ht="32" customHeight="1">
      <x:c r="A110" s="100" t="str">
        <x:v>decision_status</x:v>
      </x:c>
      <x:c r="B110" s="100" t="str">
        <x:v>决策状态</x:v>
      </x:c>
      <x:c r="C110" s="100" t="str">
        <x:v>decided</x:v>
      </x:c>
      <x:c r="D110" s="100" t="str">
        <x:v>已决定</x:v>
      </x:c>
      <x:c r="E110" s="100" t="str">
        <x:v>Decided</x:v>
      </x:c>
      <x:c r="F110" s="100" t="str">
        <x:v>授权决策人已作出并记录决定</x:v>
      </x:c>
      <x:c r="G110" s="100" t="str"/>
      <x:c r="H110" s="100" t="str"/>
      <x:c r="I110" s="100" t="str">
        <x:v>true</x:v>
      </x:c>
      <x:c r="J110" s="100" t="str">
        <x:v>20</x:v>
      </x:c>
    </x:row>
    <x:row r="111" ht="32" customHeight="1">
      <x:c r="A111" s="100" t="str">
        <x:v>decision_status</x:v>
      </x:c>
      <x:c r="B111" s="100" t="str">
        <x:v>决策状态</x:v>
      </x:c>
      <x:c r="C111" s="100" t="str">
        <x:v>superseded</x:v>
      </x:c>
      <x:c r="D111" s="100" t="str">
        <x:v>已取代</x:v>
      </x:c>
      <x:c r="E111" s="100" t="str">
        <x:v>Superseded</x:v>
      </x:c>
      <x:c r="F111" s="100" t="str">
        <x:v>该决定被后续决定正式替代</x:v>
      </x:c>
      <x:c r="G111" s="100" t="str"/>
      <x:c r="H111" s="100" t="str"/>
      <x:c r="I111" s="100" t="str">
        <x:v>true</x:v>
      </x:c>
      <x:c r="J111" s="100" t="str">
        <x:v>30</x:v>
      </x:c>
    </x:row>
    <x:row r="112" ht="32" customHeight="1">
      <x:c r="A112" s="100" t="str">
        <x:v>decision_status</x:v>
      </x:c>
      <x:c r="B112" s="100" t="str">
        <x:v>决策状态</x:v>
      </x:c>
      <x:c r="C112" s="100" t="str">
        <x:v>reopened</x:v>
      </x:c>
      <x:c r="D112" s="100" t="str">
        <x:v>已重开</x:v>
      </x:c>
      <x:c r="E112" s="100" t="str">
        <x:v>Reopened</x:v>
      </x:c>
      <x:c r="F112" s="100" t="str">
        <x:v>因触发条件变化而重新讨论</x:v>
      </x:c>
      <x:c r="G112" s="100" t="str"/>
      <x:c r="H112" s="100" t="str"/>
      <x:c r="I112" s="100" t="str">
        <x:v>true</x:v>
      </x:c>
      <x:c r="J112" s="100" t="str">
        <x:v>40</x:v>
      </x:c>
    </x:row>
    <x:row r="113" ht="32" customHeight="1">
      <x:c r="A113" s="100" t="str">
        <x:v>acquisition_method</x:v>
      </x:c>
      <x:c r="B113" s="100" t="str">
        <x:v>获取方式</x:v>
      </x:c>
      <x:c r="C113" s="100" t="str">
        <x:v>human_entry</x:v>
      </x:c>
      <x:c r="D113" s="100" t="str">
        <x:v>人工录入</x:v>
      </x:c>
      <x:c r="E113" s="100" t="str">
        <x:v>Human entry</x:v>
      </x:c>
      <x:c r="F113" s="100" t="str">
        <x:v>由编辑直接录入或整理</x:v>
      </x:c>
      <x:c r="G113" s="100" t="str"/>
      <x:c r="H113" s="100" t="str"/>
      <x:c r="I113" s="100" t="str">
        <x:v>true</x:v>
      </x:c>
      <x:c r="J113" s="100" t="str">
        <x:v>10</x:v>
      </x:c>
    </x:row>
    <x:row r="114" ht="32" customHeight="1">
      <x:c r="A114" s="100" t="str">
        <x:v>acquisition_method</x:v>
      </x:c>
      <x:c r="B114" s="100" t="str">
        <x:v>获取方式</x:v>
      </x:c>
      <x:c r="C114" s="100" t="str">
        <x:v>structured_import</x:v>
      </x:c>
      <x:c r="D114" s="100" t="str">
        <x:v>结构化导入</x:v>
      </x:c>
      <x:c r="E114" s="100" t="str">
        <x:v>Structured import</x:v>
      </x:c>
      <x:c r="F114" s="100" t="str">
        <x:v>从结构化文件或接口导入候选记录</x:v>
      </x:c>
      <x:c r="G114" s="100" t="str"/>
      <x:c r="H114" s="100" t="str"/>
      <x:c r="I114" s="100" t="str">
        <x:v>true</x:v>
      </x:c>
      <x:c r="J114" s="100" t="str">
        <x:v>20</x:v>
      </x:c>
    </x:row>
    <x:row r="115" ht="32" customHeight="1">
      <x:c r="A115" s="100" t="str">
        <x:v>acquisition_method</x:v>
      </x:c>
      <x:c r="B115" s="100" t="str">
        <x:v>获取方式</x:v>
      </x:c>
      <x:c r="C115" s="100" t="str">
        <x:v>rule_extraction</x:v>
      </x:c>
      <x:c r="D115" s="100" t="str">
        <x:v>规则抽取</x:v>
      </x:c>
      <x:c r="E115" s="100" t="str">
        <x:v>Rule extraction</x:v>
      </x:c>
      <x:c r="F115" s="100" t="str">
        <x:v>由确定性规则生成候选</x:v>
      </x:c>
      <x:c r="G115" s="100" t="str"/>
      <x:c r="H115" s="100" t="str"/>
      <x:c r="I115" s="100" t="str">
        <x:v>true</x:v>
      </x:c>
      <x:c r="J115" s="100" t="str">
        <x:v>30</x:v>
      </x:c>
    </x:row>
    <x:row r="116" ht="32" customHeight="1">
      <x:c r="A116" s="100" t="str">
        <x:v>acquisition_method</x:v>
      </x:c>
      <x:c r="B116" s="100" t="str">
        <x:v>获取方式</x:v>
      </x:c>
      <x:c r="C116" s="100" t="str">
        <x:v>ocr_extraction</x:v>
      </x:c>
      <x:c r="D116" s="100" t="str">
        <x:v>OCR 抽取</x:v>
      </x:c>
      <x:c r="E116" s="100" t="str">
        <x:v>OCR extraction</x:v>
      </x:c>
      <x:c r="F116" s="100" t="str">
        <x:v>由文字识别生成候选文本或字段</x:v>
      </x:c>
      <x:c r="G116" s="100" t="str"/>
      <x:c r="H116" s="100" t="str"/>
      <x:c r="I116" s="100" t="str">
        <x:v>true</x:v>
      </x:c>
      <x:c r="J116" s="100" t="str">
        <x:v>40</x:v>
      </x:c>
    </x:row>
    <x:row r="117" ht="32" customHeight="1">
      <x:c r="A117" s="100" t="str">
        <x:v>acquisition_method</x:v>
      </x:c>
      <x:c r="B117" s="100" t="str">
        <x:v>获取方式</x:v>
      </x:c>
      <x:c r="C117" s="100" t="str">
        <x:v>ner_extraction</x:v>
      </x:c>
      <x:c r="D117" s="100" t="str">
        <x:v>实体识别抽取</x:v>
      </x:c>
      <x:c r="E117" s="100" t="str">
        <x:v>NER extraction</x:v>
      </x:c>
      <x:c r="F117" s="100" t="str">
        <x:v>由实体识别模型生成候选实体或提及</x:v>
      </x:c>
      <x:c r="G117" s="100" t="str"/>
      <x:c r="H117" s="100" t="str"/>
      <x:c r="I117" s="100" t="str">
        <x:v>true</x:v>
      </x:c>
      <x:c r="J117" s="100" t="str">
        <x:v>50</x:v>
      </x:c>
    </x:row>
    <x:row r="118" ht="32" customHeight="1">
      <x:c r="A118" s="100" t="str">
        <x:v>acquisition_method</x:v>
      </x:c>
      <x:c r="B118" s="100" t="str">
        <x:v>获取方式</x:v>
      </x:c>
      <x:c r="C118" s="100" t="str">
        <x:v>llm_extraction</x:v>
      </x:c>
      <x:c r="D118" s="100" t="str">
        <x:v>大模型抽取</x:v>
      </x:c>
      <x:c r="E118" s="100" t="str">
        <x:v>LLM extraction</x:v>
      </x:c>
      <x:c r="F118" s="100" t="str">
        <x:v>由大模型生成候选但不得自动发布</x:v>
      </x:c>
      <x:c r="G118" s="100" t="str"/>
      <x:c r="H118" s="100" t="str"/>
      <x:c r="I118" s="100" t="str">
        <x:v>true</x:v>
      </x:c>
      <x:c r="J118" s="100" t="str">
        <x:v>60</x:v>
      </x:c>
    </x:row>
    <x:row r="119" ht="32" customHeight="1">
      <x:c r="A119" s="100" t="str">
        <x:v>assertion_kind</x:v>
      </x:c>
      <x:c r="B119" s="100" t="str">
        <x:v>主张类型</x:v>
      </x:c>
      <x:c r="C119" s="100" t="str">
        <x:v>entity_relation</x:v>
      </x:c>
      <x:c r="D119" s="100" t="str">
        <x:v>实体关系</x:v>
      </x:c>
      <x:c r="E119" s="100" t="str">
        <x:v>Entity relation</x:v>
      </x:c>
      <x:c r="F119" s="100" t="str">
        <x:v>机构隶属师生政治联盟作者等通用实体关系</x:v>
      </x:c>
      <x:c r="G119" s="100" t="str"/>
      <x:c r="H119" s="100" t="str"/>
      <x:c r="I119" s="100" t="str">
        <x:v>true</x:v>
      </x:c>
      <x:c r="J119" s="100" t="str">
        <x:v>10</x:v>
      </x:c>
    </x:row>
    <x:row r="120" ht="32" customHeight="1">
      <x:c r="A120" s="100" t="str">
        <x:v>assertion_kind</x:v>
      </x:c>
      <x:c r="B120" s="100" t="str">
        <x:v>主张类型</x:v>
      </x:c>
      <x:c r="C120" s="100" t="str">
        <x:v>literal_statement</x:v>
      </x:c>
      <x:c r="D120" s="100" t="str">
        <x:v>文字或数值陈述</x:v>
      </x:c>
      <x:c r="E120" s="100" t="str">
        <x:v>Literal statement</x:v>
      </x:c>
      <x:c r="F120" s="100" t="str">
        <x:v>以文字数值布尔时间或 URI 为值的主张</x:v>
      </x:c>
      <x:c r="G120" s="100" t="str"/>
      <x:c r="H120" s="100" t="str"/>
      <x:c r="I120" s="100" t="str">
        <x:v>true</x:v>
      </x:c>
      <x:c r="J120" s="100" t="str">
        <x:v>20</x:v>
      </x:c>
    </x:row>
    <x:row r="121" ht="32" customHeight="1">
      <x:c r="A121" s="100" t="str">
        <x:v>assertion_kind</x:v>
      </x:c>
      <x:c r="B121" s="100" t="str">
        <x:v>主张类型</x:v>
      </x:c>
      <x:c r="C121" s="100" t="str">
        <x:v>person_relationship</x:v>
      </x:c>
      <x:c r="D121" s="100" t="str">
        <x:v>人物关系</x:v>
      </x:c>
      <x:c r="E121" s="100" t="str">
        <x:v>Person relationship</x:v>
      </x:c>
      <x:c r="F121" s="100" t="str">
        <x:v>亲属婚姻抚育承嗣等人物间关系</x:v>
      </x:c>
      <x:c r="G121" s="100" t="str"/>
      <x:c r="H121" s="100" t="str"/>
      <x:c r="I121" s="100" t="str">
        <x:v>true</x:v>
      </x:c>
      <x:c r="J121" s="100" t="str">
        <x:v>30</x:v>
      </x:c>
    </x:row>
    <x:row r="122" ht="32" customHeight="1">
      <x:c r="A122" s="100" t="str">
        <x:v>assertion_kind</x:v>
      </x:c>
      <x:c r="B122" s="100" t="str">
        <x:v>主张类型</x:v>
      </x:c>
      <x:c r="C122" s="100" t="str">
        <x:v>title_assignment</x:v>
      </x:c>
      <x:c r="D122" s="100" t="str">
        <x:v>称号授予</x:v>
      </x:c>
      <x:c r="E122" s="100" t="str">
        <x:v>Title assignment</x:v>
      </x:c>
      <x:c r="F122" s="100" t="str">
        <x:v>人物在特定时间拥有称号爵位位号或官职</x:v>
      </x:c>
      <x:c r="G122" s="100" t="str"/>
      <x:c r="H122" s="100" t="str"/>
      <x:c r="I122" s="100" t="str">
        <x:v>true</x:v>
      </x:c>
      <x:c r="J122" s="100" t="str">
        <x:v>40</x:v>
      </x:c>
    </x:row>
    <x:row r="123" ht="32" customHeight="1">
      <x:c r="A123" s="100" t="str">
        <x:v>assertion_kind</x:v>
      </x:c>
      <x:c r="B123" s="100" t="str">
        <x:v>主张类型</x:v>
      </x:c>
      <x:c r="C123" s="100" t="str">
        <x:v>event_occurrence</x:v>
      </x:c>
      <x:c r="D123" s="100" t="str">
        <x:v>事件发生</x:v>
      </x:c>
      <x:c r="E123" s="100" t="str">
        <x:v>Event occurrence</x:v>
      </x:c>
      <x:c r="F123" s="100" t="str">
        <x:v>事件的时间地点与层级关系</x:v>
      </x:c>
      <x:c r="G123" s="100" t="str"/>
      <x:c r="H123" s="100" t="str"/>
      <x:c r="I123" s="100" t="str">
        <x:v>true</x:v>
      </x:c>
      <x:c r="J123" s="100" t="str">
        <x:v>50</x:v>
      </x:c>
    </x:row>
    <x:row r="124" ht="32" customHeight="1">
      <x:c r="A124" s="100" t="str">
        <x:v>assertion_kind</x:v>
      </x:c>
      <x:c r="B124" s="100" t="str">
        <x:v>主张类型</x:v>
      </x:c>
      <x:c r="C124" s="100" t="str">
        <x:v>event_participation</x:v>
      </x:c>
      <x:c r="D124" s="100" t="str">
        <x:v>事件参与</x:v>
      </x:c>
      <x:c r="E124" s="100" t="str">
        <x:v>Event participation</x:v>
      </x:c>
      <x:c r="F124" s="100" t="str">
        <x:v>实体以明确角色参与事件</x:v>
      </x:c>
      <x:c r="G124" s="100" t="str"/>
      <x:c r="H124" s="100" t="str"/>
      <x:c r="I124" s="100" t="str">
        <x:v>true</x:v>
      </x:c>
      <x:c r="J124" s="100" t="str">
        <x:v>60</x:v>
      </x:c>
    </x:row>
    <x:row r="125" ht="32" customHeight="1">
      <x:c r="A125" s="100" t="str">
        <x:v>assertion_kind</x:v>
      </x:c>
      <x:c r="B125" s="100" t="str">
        <x:v>主张类型</x:v>
      </x:c>
      <x:c r="C125" s="100" t="str">
        <x:v>depiction</x:v>
      </x:c>
      <x:c r="D125" s="100" t="str">
        <x:v>图像表现认定</x:v>
      </x:c>
      <x:c r="E125" s="100" t="str">
        <x:v>Depiction</x:v>
      </x:c>
      <x:c r="F125" s="100" t="str">
        <x:v>视觉作品或图像区域表现某人物或对象</x:v>
      </x:c>
      <x:c r="G125" s="100" t="str"/>
      <x:c r="H125" s="100" t="str"/>
      <x:c r="I125" s="100" t="str">
        <x:v>true</x:v>
      </x:c>
      <x:c r="J125" s="100" t="str">
        <x:v>70</x:v>
      </x:c>
    </x:row>
    <x:row r="126" ht="32" customHeight="1">
      <x:c r="A126" s="100" t="str">
        <x:v>verification_status</x:v>
      </x:c>
      <x:c r="B126" s="100" t="str">
        <x:v>证据核验状态</x:v>
      </x:c>
      <x:c r="C126" s="100" t="str">
        <x:v>unverified</x:v>
      </x:c>
      <x:c r="D126" s="100" t="str">
        <x:v>未核验</x:v>
      </x:c>
      <x:c r="E126" s="100" t="str">
        <x:v>Unverified</x:v>
      </x:c>
      <x:c r="F126" s="100" t="str">
        <x:v>证据项尚未核对到具体来源</x:v>
      </x:c>
      <x:c r="G126" s="100" t="str"/>
      <x:c r="H126" s="100" t="str"/>
      <x:c r="I126" s="100" t="str">
        <x:v>true</x:v>
      </x:c>
      <x:c r="J126" s="100" t="str">
        <x:v>10</x:v>
      </x:c>
    </x:row>
    <x:row r="127" ht="32" customHeight="1">
      <x:c r="A127" s="100" t="str">
        <x:v>verification_status</x:v>
      </x:c>
      <x:c r="B127" s="100" t="str">
        <x:v>证据核验状态</x:v>
      </x:c>
      <x:c r="C127" s="100" t="str">
        <x:v>locator_checked</x:v>
      </x:c>
      <x:c r="D127" s="100" t="str">
        <x:v>定位已核</x:v>
      </x:c>
      <x:c r="E127" s="100" t="str">
        <x:v>Locator checked</x:v>
      </x:c>
      <x:c r="F127" s="100" t="str">
        <x:v>卷页档号或图像区域已核对</x:v>
      </x:c>
      <x:c r="G127" s="100" t="str"/>
      <x:c r="H127" s="100" t="str"/>
      <x:c r="I127" s="100" t="str">
        <x:v>true</x:v>
      </x:c>
      <x:c r="J127" s="100" t="str">
        <x:v>20</x:v>
      </x:c>
    </x:row>
    <x:row r="128" ht="32" customHeight="1">
      <x:c r="A128" s="100" t="str">
        <x:v>verification_status</x:v>
      </x:c>
      <x:c r="B128" s="100" t="str">
        <x:v>证据核验状态</x:v>
      </x:c>
      <x:c r="C128" s="100" t="str">
        <x:v>quote_checked</x:v>
      </x:c>
      <x:c r="D128" s="100" t="str">
        <x:v>引文已核</x:v>
      </x:c>
      <x:c r="E128" s="100" t="str">
        <x:v>Quote checked</x:v>
      </x:c>
      <x:c r="F128" s="100" t="str">
        <x:v>引文与原件或可靠影像逐字核对</x:v>
      </x:c>
      <x:c r="G128" s="100" t="str"/>
      <x:c r="H128" s="100" t="str"/>
      <x:c r="I128" s="100" t="str">
        <x:v>true</x:v>
      </x:c>
      <x:c r="J128" s="100" t="str">
        <x:v>30</x:v>
      </x:c>
    </x:row>
    <x:row r="129" ht="32" customHeight="1">
      <x:c r="A129" s="100" t="str">
        <x:v>verification_status</x:v>
      </x:c>
      <x:c r="B129" s="100" t="str">
        <x:v>证据核验状态</x:v>
      </x:c>
      <x:c r="C129" s="100" t="str">
        <x:v>fully_verified</x:v>
      </x:c>
      <x:c r="D129" s="100" t="str">
        <x:v>完全核验</x:v>
      </x:c>
      <x:c r="E129" s="100" t="str">
        <x:v>Fully verified</x:v>
      </x:c>
      <x:c r="F129" s="100" t="str">
        <x:v>定位版本引文与主张支持关系均已复核</x:v>
      </x:c>
      <x:c r="G129" s="100" t="str"/>
      <x:c r="H129" s="100" t="str"/>
      <x:c r="I129" s="100" t="str">
        <x:v>true</x:v>
      </x:c>
      <x:c r="J129" s="100" t="str">
        <x:v>40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fe2162e5e3a45fe"/>
  </x:tableParts>
</x:worksheet>
</file>